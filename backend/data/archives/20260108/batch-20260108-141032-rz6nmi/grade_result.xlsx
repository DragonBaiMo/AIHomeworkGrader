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按学号汇总" sheetId="3" state="visible" r:id="rId3"/>
    <sheet xmlns:r="http://schemas.openxmlformats.org/officeDocument/2006/relationships" name="成绩总览" sheetId="4" state="visible" r:id="rId4"/>
    <sheet xmlns:r="http://schemas.openxmlformats.org/officeDocument/2006/relationships" name="批改模型结果（宽表）" sheetId="5" state="visible" r:id="rId5"/>
    <sheet xmlns:r="http://schemas.openxmlformats.org/officeDocument/2006/relationships" name="维度汇总" sheetId="6" state="visible" r:id="rId6"/>
    <sheet xmlns:r="http://schemas.openxmlformats.org/officeDocument/2006/relationships" name="细则明细" sheetId="7" state="visible" r:id="rId7"/>
    <sheet xmlns:r="http://schemas.openxmlformats.org/officeDocument/2006/relationships" name="批次总览" sheetId="8" state="visible" r:id="rId8"/>
    <sheet xmlns:r="http://schemas.openxmlformats.org/officeDocument/2006/relationships" name="错误统计" sheetId="9" state="visible" r:id="rId9"/>
  </sheets>
  <definedNames>
    <definedName name="_xlnm.Print_Titles" localSheetId="0">'Dashboard'!$1:$1</definedName>
    <definedName name="_xlnm.Print_Titles" localSheetId="1">'数据'!$1:$1</definedName>
    <definedName name="_xlnm.Print_Titles" localSheetId="2">'按学号汇总'!$1:$1</definedName>
    <definedName name="_xlnm.Print_Titles" localSheetId="3">'成绩总览'!$1:$1</definedName>
    <definedName name="_xlnm.Print_Titles" localSheetId="4">'批改模型结果（宽表）'!$1:$1</definedName>
    <definedName name="_xlnm.Print_Titles" localSheetId="5">'维度汇总'!$1:$1</definedName>
    <definedName name="_xlnm.Print_Titles" localSheetId="6">'细则明细'!$1:$1</definedName>
    <definedName name="_xlnm.Print_Titles" localSheetId="7">'批次总览'!$1:$1</definedName>
    <definedName name="_xlnm.Print_Titles" localSheetId="8">'错误统计'!$1:$1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color rgb="006B7280"/>
    </font>
    <font>
      <b val="1"/>
      <color rgb="002B2B2B"/>
      <sz val="12"/>
    </font>
    <font>
      <b val="1"/>
      <color rgb="002B2B2B"/>
      <sz val="22"/>
    </font>
    <font>
      <b val="1"/>
      <color rgb="002B2B2B"/>
      <sz val="14"/>
    </font>
    <font>
      <b val="1"/>
      <color rgb="002B2B2B"/>
      <sz val="13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2F5F9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4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top" wrapText="1"/>
    </xf>
    <xf numFmtId="0" fontId="8" fillId="0" borderId="0" pivotButton="0" quotePrefix="0" xfId="0"/>
    <xf numFmtId="0" fontId="7" fillId="4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2" fontId="0" fillId="0" borderId="3" applyAlignment="1" pivotButton="0" quotePrefix="0" xfId="0">
      <alignment horizontal="left" vertical="top"/>
    </xf>
    <xf numFmtId="164" fontId="0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1" fontId="0" fillId="0" borderId="3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ill>
        <patternFill patternType="solid">
          <fgColor rgb="00F8FBFF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'数据'!$A$2:$A$3</f>
            </numRef>
          </cat>
          <val>
            <numRef>
              <f>'数据'!$B$2:$B$3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'数据'!$A$6:$A$15</f>
            </numRef>
          </cat>
          <val>
            <numRef>
              <f>'数据'!$B$6:$B$15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维度均分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'数据'!$D$2:$D$19</f>
            </numRef>
          </cat>
          <val>
            <numRef>
              <f>'数据'!$E$2:$E$19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12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12</row>
      <rowOff>0</rowOff>
    </from>
    <ext cx="43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IdSummary" displayName="StudentIdSummary" ref="A1:I4" headerRowCount="1">
  <autoFilter ref="A1:I4"/>
  <tableColumns count="9">
    <tableColumn id="1" name="学号"/>
    <tableColumn id="2" name="姓名"/>
    <tableColumn id="3" name="当前分数"/>
    <tableColumn id="4" name="AI影响评估"/>
    <tableColumn id="5" name="报告基础要求"/>
    <tableColumn id="6" name="职业规划与认知"/>
    <tableColumn id="7" name="行业发展分析"/>
    <tableColumn id="8" name="总体评语"/>
    <tableColumn id="9" name="目标总分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OverviewTbl" displayName="OverviewTbl" ref="A1:M4" headerRowCount="1">
  <autoFilter ref="A1:M4"/>
  <tableColumns count="13">
    <tableColumn id="1" name="状态"/>
    <tableColumn id="2" name="最终分"/>
    <tableColumn id="3" name="姓名"/>
    <tableColumn id="4" name="学号"/>
    <tableColumn id="5" name="文件名"/>
    <tableColumn id="6" name="成功模型数"/>
    <tableColumn id="7" name="失败模型数"/>
    <tableColumn id="8" name="模型通过率"/>
    <tableColumn id="9" name="总体评语"/>
    <tableColumn id="10" name="错误描述"/>
    <tableColumn id="11" name="聚合算法"/>
    <tableColumn id="12" name="查看模型"/>
    <tableColumn id="13" name="查看细则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odelWide" displayName="ModelWide" ref="A1:L4" headerRowCount="1">
  <autoFilter ref="A1:L4"/>
  <tableColumns count="12">
    <tableColumn id="1" name="学号"/>
    <tableColumn id="2" name="姓名"/>
    <tableColumn id="3" name="文件名"/>
    <tableColumn id="4" name="主模型-状态"/>
    <tableColumn id="5" name="主模型-分数"/>
    <tableColumn id="6" name="主模型-耗时(ms)"/>
    <tableColumn id="7" name="主模型-评语"/>
    <tableColumn id="8" name="副模型A-状态"/>
    <tableColumn id="9" name="副模型A-分数"/>
    <tableColumn id="10" name="副模型A-耗时(ms)"/>
    <tableColumn id="11" name="副模型A-评语"/>
    <tableColumn id="12" name="总体评语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imSummary" displayName="DimSummary" ref="A1:G4" headerRowCount="1">
  <autoFilter ref="A1:G4"/>
  <tableColumns count="7">
    <tableColumn id="1" name="学号"/>
    <tableColumn id="2" name="姓名"/>
    <tableColumn id="3" name="最终分"/>
    <tableColumn id="4" name="AI影响评估"/>
    <tableColumn id="5" name="报告基础要求"/>
    <tableColumn id="6" name="职业规划与认知"/>
    <tableColumn id="7" name="行业发展分析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ubricDetail" displayName="RubricDetail" ref="A1:I17" headerRowCount="1">
  <autoFilter ref="A1:I17"/>
  <tableColumns count="9">
    <tableColumn id="1" name="学号"/>
    <tableColumn id="2" name="姓名"/>
    <tableColumn id="3" name="维度"/>
    <tableColumn id="4" name="细则项"/>
    <tableColumn id="5" name="该项总分"/>
    <tableColumn id="6" name="得分"/>
    <tableColumn id="7" name="扣分"/>
    <tableColumn id="8" name="原因说明"/>
    <tableColumn id="9" name="改进建议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BatchSummary" displayName="BatchSummary" ref="A1:B13" headerRowCount="1">
  <autoFilter ref="A1:B13"/>
  <tableColumns count="2">
    <tableColumn id="1" name="字段"/>
    <tableColumn id="2" name="值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ErrStats" displayName="ErrStats" ref="A1:C2" headerRowCount="1">
  <autoFilter ref="A1:C2"/>
  <tableColumns count="3">
    <tableColumn id="1" name="错误类型"/>
    <tableColumn id="2" name="数量"/>
    <tableColumn id="3" name="占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2" customWidth="1" min="4" max="4"/>
    <col width="18" customWidth="1" min="5" max="5"/>
    <col width="18" customWidth="1" min="6" max="6"/>
    <col width="2" customWidth="1" min="7" max="7"/>
    <col width="18" customWidth="1" min="8" max="8"/>
    <col width="18" customWidth="1" min="9" max="9"/>
    <col width="18" customWidth="1" min="10" max="10"/>
    <col width="18" customWidth="1" min="11" max="11"/>
    <col width="2" customWidth="1" min="12" max="12"/>
  </cols>
  <sheetData>
    <row r="1" ht="34" customHeight="1">
      <c r="A1" s="1" t="inlineStr">
        <is>
          <t>作业批改结果 · batch-20260108-141032-rz6nmi</t>
        </is>
      </c>
    </row>
    <row r="3" ht="20" customHeight="1">
      <c r="A3" s="2" t="inlineStr">
        <is>
          <t>生成时间：2026-01-08 14:12   |   总提交：3   |   成功率：66.7%</t>
        </is>
      </c>
    </row>
    <row r="5">
      <c r="B5" s="3" t="n">
        <v>3</v>
      </c>
      <c r="C5" s="4" t="n"/>
      <c r="E5" s="3" t="inlineStr">
        <is>
          <t>2 / 1</t>
        </is>
      </c>
      <c r="F5" s="4" t="n"/>
      <c r="H5" s="3" t="n">
        <v>95</v>
      </c>
      <c r="I5" s="4" t="n"/>
      <c r="J5" s="4" t="n"/>
      <c r="K5" s="4" t="n"/>
    </row>
    <row r="6">
      <c r="B6" s="4" t="n"/>
      <c r="C6" s="4" t="n"/>
      <c r="E6" s="5" t="inlineStr">
        <is>
          <t>成功率 66.7%</t>
        </is>
      </c>
      <c r="F6" s="4" t="n"/>
      <c r="H6" s="5" t="inlineStr">
        <is>
          <t>中位数 95.0</t>
        </is>
      </c>
      <c r="I6" s="4" t="n"/>
      <c r="J6" s="4" t="n"/>
      <c r="K6" s="4" t="n"/>
    </row>
    <row r="7">
      <c r="B7" s="4" t="n"/>
      <c r="C7" s="4" t="n"/>
      <c r="E7" s="4" t="n"/>
      <c r="F7" s="4" t="n"/>
      <c r="H7" s="4" t="n"/>
      <c r="I7" s="4" t="n"/>
      <c r="J7" s="4" t="n"/>
      <c r="K7" s="4" t="n"/>
    </row>
    <row r="9">
      <c r="B9" s="6" t="n">
        <v>99.2</v>
      </c>
      <c r="C9" s="4" t="n"/>
      <c r="E9" s="6" t="inlineStr">
        <is>
          <t>90.8 / 99.2</t>
        </is>
      </c>
      <c r="F9" s="4" t="n"/>
      <c r="H9" s="7" t="n">
        <v>0</v>
      </c>
      <c r="I9" s="4" t="n"/>
      <c r="J9" s="4" t="n"/>
      <c r="K9" s="4" t="n"/>
    </row>
    <row r="10">
      <c r="B10" s="4" t="n"/>
      <c r="C10" s="4" t="n"/>
      <c r="E10" s="4" t="n"/>
      <c r="F10" s="4" t="n"/>
      <c r="H10" s="5" t="inlineStr">
        <is>
          <t>主模型 0 | 副模型 0</t>
        </is>
      </c>
      <c r="I10" s="4" t="n"/>
      <c r="J10" s="4" t="n"/>
      <c r="K10" s="4" t="n"/>
    </row>
    <row r="12">
      <c r="B12" s="8" t="inlineStr">
        <is>
          <t>状态分布</t>
        </is>
      </c>
      <c r="E12" s="8" t="inlineStr">
        <is>
          <t>分数分布</t>
        </is>
      </c>
      <c r="H12" s="8" t="inlineStr">
        <is>
          <t>维度均分</t>
        </is>
      </c>
    </row>
    <row r="27">
      <c r="B27" s="8" t="inlineStr">
        <is>
          <t>低分 Top10</t>
        </is>
      </c>
    </row>
    <row r="28">
      <c r="B28" s="9" t="inlineStr">
        <is>
          <t>文件名</t>
        </is>
      </c>
      <c r="C28" s="9" t="inlineStr">
        <is>
          <t>学号</t>
        </is>
      </c>
      <c r="D28" s="9" t="inlineStr">
        <is>
          <t>姓名</t>
        </is>
      </c>
      <c r="E28" s="9" t="inlineStr">
        <is>
          <t>最终分</t>
        </is>
      </c>
    </row>
    <row r="29">
      <c r="B29" s="10" t="inlineStr">
        <is>
          <t>1-25物联网工程1班李靖镖202502210167专业分析报告.docx</t>
        </is>
      </c>
      <c r="C29" s="10" t="inlineStr">
        <is>
          <t>202502210167</t>
        </is>
      </c>
      <c r="D29" s="10" t="inlineStr">
        <is>
          <t>李靖镖</t>
        </is>
      </c>
      <c r="E29" s="10" t="n">
        <v>90.75</v>
      </c>
    </row>
    <row r="30">
      <c r="B30" s="10" t="inlineStr">
        <is>
          <t>2-25物联网工程1班 汤智健 202502210147 专业分析报告.docx</t>
        </is>
      </c>
      <c r="C30" s="10" t="inlineStr">
        <is>
          <t>202502210147</t>
        </is>
      </c>
      <c r="D30" s="10" t="inlineStr">
        <is>
          <t>汤智健</t>
        </is>
      </c>
      <c r="E30" s="10" t="n">
        <v>99.25</v>
      </c>
    </row>
    <row r="31">
      <c r="B31" s="10" t="n"/>
      <c r="C31" s="10" t="n"/>
      <c r="D31" s="10" t="n"/>
      <c r="E31" s="10" t="n"/>
    </row>
    <row r="32">
      <c r="B32" s="10" t="n"/>
      <c r="C32" s="10" t="n"/>
      <c r="D32" s="10" t="n"/>
      <c r="E32" s="10" t="n"/>
    </row>
    <row r="33">
      <c r="B33" s="10" t="n"/>
      <c r="C33" s="10" t="n"/>
      <c r="D33" s="10" t="n"/>
      <c r="E33" s="10" t="n"/>
    </row>
    <row r="34">
      <c r="B34" s="10" t="n"/>
      <c r="C34" s="10" t="n"/>
      <c r="D34" s="10" t="n"/>
      <c r="E34" s="10" t="n"/>
    </row>
    <row r="35">
      <c r="B35" s="10" t="n"/>
      <c r="C35" s="10" t="n"/>
      <c r="D35" s="10" t="n"/>
      <c r="E35" s="10" t="n"/>
    </row>
    <row r="36">
      <c r="B36" s="10" t="n"/>
      <c r="C36" s="10" t="n"/>
      <c r="D36" s="10" t="n"/>
      <c r="E36" s="10" t="n"/>
    </row>
    <row r="37">
      <c r="B37" s="10" t="n"/>
      <c r="C37" s="10" t="n"/>
      <c r="D37" s="10" t="n"/>
      <c r="E37" s="10" t="n"/>
    </row>
    <row r="38">
      <c r="B38" s="10" t="n"/>
      <c r="C38" s="10" t="n"/>
      <c r="D38" s="10" t="n"/>
      <c r="E38" s="10" t="n"/>
    </row>
  </sheetData>
  <mergeCells count="17">
    <mergeCell ref="B6:C6"/>
    <mergeCell ref="E6:F6"/>
    <mergeCell ref="B7:C7"/>
    <mergeCell ref="H9:K9"/>
    <mergeCell ref="E7:F7"/>
    <mergeCell ref="E10:F10"/>
    <mergeCell ref="B5:C5"/>
    <mergeCell ref="A1:L1"/>
    <mergeCell ref="B10:C10"/>
    <mergeCell ref="E5:F5"/>
    <mergeCell ref="H6:K6"/>
    <mergeCell ref="H7:K7"/>
    <mergeCell ref="B9:C9"/>
    <mergeCell ref="A3:L3"/>
    <mergeCell ref="E9:F9"/>
    <mergeCell ref="H10:K10"/>
    <mergeCell ref="H5:K5"/>
  </mergeCells>
  <conditionalFormatting sqref="B29:E38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zoomScale="100" workbookViewId="0">
      <selection activeCell="A1" sqref="A1"/>
    </sheetView>
  </sheetViews>
  <sheetFormatPr baseColWidth="8" defaultRowHeight="15"/>
  <sheetData>
    <row r="1">
      <c r="A1" s="11" t="inlineStr">
        <is>
          <t>状态</t>
        </is>
      </c>
      <c r="B1" s="11" t="inlineStr">
        <is>
          <t>数量</t>
        </is>
      </c>
      <c r="D1" s="11" t="inlineStr">
        <is>
          <t>维度</t>
        </is>
      </c>
      <c r="E1" s="11" t="inlineStr">
        <is>
          <t>均分</t>
        </is>
      </c>
    </row>
    <row r="2">
      <c r="A2" t="inlineStr">
        <is>
          <t>成功</t>
        </is>
      </c>
      <c r="B2" t="n">
        <v>2</v>
      </c>
      <c r="D2" t="inlineStr">
        <is>
          <t>AI影响评估</t>
        </is>
      </c>
      <c r="E2" t="n">
        <v>28.6</v>
      </c>
    </row>
    <row r="3">
      <c r="A3" t="inlineStr">
        <is>
          <t>失败</t>
        </is>
      </c>
      <c r="B3" t="n">
        <v>1</v>
      </c>
      <c r="D3" t="inlineStr">
        <is>
          <t>行业发展分析</t>
        </is>
      </c>
      <c r="E3" t="n">
        <v>27.9</v>
      </c>
    </row>
    <row r="4">
      <c r="D4" t="inlineStr">
        <is>
          <t>报告基础要求</t>
        </is>
      </c>
      <c r="E4" t="n">
        <v>19.9</v>
      </c>
    </row>
    <row r="5">
      <c r="A5" s="11" t="inlineStr">
        <is>
          <t>分数段</t>
        </is>
      </c>
      <c r="B5" s="11" t="inlineStr">
        <is>
          <t>人数</t>
        </is>
      </c>
      <c r="D5" t="inlineStr">
        <is>
          <t>职业规划与认知</t>
        </is>
      </c>
      <c r="E5" t="n">
        <v>18.6</v>
      </c>
    </row>
    <row r="6">
      <c r="A6" t="inlineStr">
        <is>
          <t>00-09</t>
        </is>
      </c>
      <c r="B6" t="n">
        <v>0</v>
      </c>
      <c r="D6" t="inlineStr"/>
      <c r="E6" t="inlineStr"/>
    </row>
    <row r="7">
      <c r="A7" t="inlineStr">
        <is>
          <t>10-19</t>
        </is>
      </c>
      <c r="B7" t="n">
        <v>0</v>
      </c>
      <c r="D7" t="inlineStr"/>
      <c r="E7" t="inlineStr"/>
    </row>
    <row r="8">
      <c r="A8" t="inlineStr">
        <is>
          <t>20-29</t>
        </is>
      </c>
      <c r="B8" t="n">
        <v>0</v>
      </c>
      <c r="D8" t="inlineStr"/>
      <c r="E8" t="inlineStr"/>
    </row>
    <row r="9">
      <c r="A9" t="inlineStr">
        <is>
          <t>30-39</t>
        </is>
      </c>
      <c r="B9" t="n">
        <v>0</v>
      </c>
      <c r="D9" t="inlineStr"/>
      <c r="E9" t="inlineStr"/>
    </row>
    <row r="10">
      <c r="A10" t="inlineStr">
        <is>
          <t>40-49</t>
        </is>
      </c>
      <c r="B10" t="n">
        <v>0</v>
      </c>
      <c r="D10" t="inlineStr"/>
      <c r="E10" t="inlineStr"/>
    </row>
    <row r="11">
      <c r="A11" t="inlineStr">
        <is>
          <t>50-59</t>
        </is>
      </c>
      <c r="B11" t="n">
        <v>0</v>
      </c>
      <c r="D11" t="inlineStr"/>
      <c r="E11" t="inlineStr"/>
    </row>
    <row r="12">
      <c r="A12" t="inlineStr">
        <is>
          <t>60-69</t>
        </is>
      </c>
      <c r="B12" t="n">
        <v>0</v>
      </c>
      <c r="D12" t="inlineStr"/>
      <c r="E12" t="inlineStr"/>
    </row>
    <row r="13">
      <c r="A13" t="inlineStr">
        <is>
          <t>70-79</t>
        </is>
      </c>
      <c r="B13" t="n">
        <v>0</v>
      </c>
      <c r="D13" t="inlineStr"/>
      <c r="E13" t="inlineStr"/>
    </row>
    <row r="14">
      <c r="A14" t="inlineStr">
        <is>
          <t>80-89</t>
        </is>
      </c>
      <c r="B14" t="n">
        <v>0</v>
      </c>
      <c r="D14" t="inlineStr"/>
      <c r="E14" t="inlineStr"/>
    </row>
    <row r="15">
      <c r="A15" t="inlineStr">
        <is>
          <t>90-99</t>
        </is>
      </c>
      <c r="B15" t="n">
        <v>2</v>
      </c>
      <c r="D15" t="inlineStr"/>
      <c r="E15" t="inlineStr"/>
    </row>
    <row r="16">
      <c r="D16" t="inlineStr"/>
      <c r="E16" t="inlineStr"/>
    </row>
    <row r="17">
      <c r="D17" t="inlineStr"/>
      <c r="E17" t="inlineStr"/>
    </row>
    <row r="18">
      <c r="D18" t="inlineStr"/>
      <c r="E18" t="inlineStr"/>
    </row>
    <row r="19">
      <c r="D19" t="inlineStr"/>
      <c r="E19" t="inlineStr"/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10" customWidth="1" min="3" max="3"/>
    <col width="10" customWidth="1" min="4" max="4"/>
    <col width="10" customWidth="1" min="5" max="5"/>
    <col width="10.4" customWidth="1" min="6" max="6"/>
    <col width="10" customWidth="1" min="7" max="7"/>
    <col width="44" customWidth="1" min="8" max="8"/>
    <col width="10" customWidth="1" min="9" max="9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当前分数</t>
        </is>
      </c>
      <c r="D1" s="12" t="inlineStr">
        <is>
          <t>AI影响评估</t>
        </is>
      </c>
      <c r="E1" s="12" t="inlineStr">
        <is>
          <t>报告基础要求</t>
        </is>
      </c>
      <c r="F1" s="12" t="inlineStr">
        <is>
          <t>职业规划与认知</t>
        </is>
      </c>
      <c r="G1" s="12" t="inlineStr">
        <is>
          <t>行业发展分析</t>
        </is>
      </c>
      <c r="H1" s="12" t="inlineStr">
        <is>
          <t>总体评语</t>
        </is>
      </c>
      <c r="I1" s="12" t="inlineStr">
        <is>
          <t>目标总分</t>
        </is>
      </c>
    </row>
    <row r="2">
      <c r="A2" s="13" t="inlineStr">
        <is>
          <t>202502210147</t>
        </is>
      </c>
      <c r="B2" s="13" t="inlineStr">
        <is>
          <t>汤智健</t>
        </is>
      </c>
      <c r="C2" s="14" t="n">
        <v>99.25</v>
      </c>
      <c r="D2" s="14" t="n">
        <v>29.75</v>
      </c>
      <c r="E2" s="14" t="n">
        <v>20</v>
      </c>
      <c r="F2" s="14" t="n">
        <v>19.75</v>
      </c>
      <c r="G2" s="14" t="n">
        <v>29.75</v>
      </c>
      <c r="H2" s="10" t="inlineStr">
        <is>
          <t>本次专业分析报告整体完成度很高。优点在于报告结构完整、逻辑清晰，对物联网行业进行了全面深入的分析，数据引用详实，个人见解明确。同时，报告能结合AI技术的影响展开讨论，并在此基础上提出了具体且有针对性个人职业规划，体现了较强的专业认知与前瞻性思考。不足之处在于，部分分析可以进一步深化，例如对AI影响的具体机制或行业挑战的应对策略可做更细致的阐述。建议未来在保持现有框架优势的基础上，加强对关键论点的深度挖掘，并注意在论述中进一步突出个人分析的独到之处，使报告更具批判性和创新性。</t>
        </is>
      </c>
      <c r="I2" s="14" t="n">
        <v>100</v>
      </c>
    </row>
    <row r="3">
      <c r="A3" s="13" t="inlineStr">
        <is>
          <t>202502210167</t>
        </is>
      </c>
      <c r="B3" s="13" t="inlineStr">
        <is>
          <t>李靖镖</t>
        </is>
      </c>
      <c r="C3" s="14" t="n">
        <v>90.75</v>
      </c>
      <c r="D3" s="14" t="n">
        <v>27.5</v>
      </c>
      <c r="E3" s="14" t="n">
        <v>19.75</v>
      </c>
      <c r="F3" s="14" t="n">
        <v>17.5</v>
      </c>
      <c r="G3" s="14" t="n">
        <v>26</v>
      </c>
      <c r="H3" s="10" t="inlineStr">
        <is>
          <t>本次作业完成质量较高。报告结构完整、逻辑清晰，对物联网行业的分析较为全面深入，数据支撑有力，体现了良好的信息整合能力。AI影响评估部分能够做到客观辩证，正负面影响分析到位，职业规划部分岗位列举详实，匹配度分析具体。整体原创性较高，格式规范，语言流畅。不足之处在于，部分内容的分析深度与广度仍有提升空间，职业规划的发展路径思考稍显笼统，个别细节可以进一步打磨。建议未来在保持现有优势的基础上，加强对核心问题的纵深探讨，并对职业发展路径进行更具体、分阶段的规划，使报告更具前瞻性和实践指导意义。</t>
        </is>
      </c>
      <c r="I3" s="14" t="n">
        <v>100</v>
      </c>
    </row>
    <row r="4">
      <c r="A4" s="13" t="inlineStr"/>
      <c r="B4" s="13" t="inlineStr"/>
      <c r="C4" s="13" t="n"/>
      <c r="D4" s="13" t="n"/>
      <c r="E4" s="13" t="n"/>
      <c r="F4" s="13" t="n"/>
      <c r="G4" s="13" t="n"/>
      <c r="H4" s="10" t="inlineStr"/>
      <c r="I4" s="14" t="n">
        <v>60</v>
      </c>
    </row>
  </sheetData>
  <conditionalFormatting sqref="A2:I4">
    <cfRule type="expression" priority="1" dxfId="0">
      <formula>MOD(ROW(),2)=0</formula>
    </cfRule>
  </conditionalFormatting>
  <conditionalFormatting sqref="C2:C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">
    <cfRule type="expression" priority="3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.4" customWidth="1" min="4" max="4"/>
    <col width="30" customWidth="1" min="5" max="5"/>
    <col width="10" customWidth="1" min="6" max="6"/>
    <col width="10" customWidth="1" min="7" max="7"/>
    <col width="35.6" customWidth="1" min="8" max="8"/>
    <col width="40" customWidth="1" min="9" max="9"/>
    <col width="40" customWidth="1" min="10" max="10"/>
    <col width="10" customWidth="1" min="11" max="11"/>
    <col width="10" customWidth="1" min="12" max="12"/>
    <col width="38" customWidth="1" min="13" max="13"/>
  </cols>
  <sheetData>
    <row r="1" ht="24" customHeight="1">
      <c r="A1" s="12" t="inlineStr">
        <is>
          <t>状态</t>
        </is>
      </c>
      <c r="B1" s="12" t="inlineStr">
        <is>
          <t>最终分</t>
        </is>
      </c>
      <c r="C1" s="12" t="inlineStr">
        <is>
          <t>姓名</t>
        </is>
      </c>
      <c r="D1" s="12" t="inlineStr">
        <is>
          <t>学号</t>
        </is>
      </c>
      <c r="E1" s="12" t="inlineStr">
        <is>
          <t>文件名</t>
        </is>
      </c>
      <c r="F1" s="12" t="inlineStr">
        <is>
          <t>成功模型数</t>
        </is>
      </c>
      <c r="G1" s="12" t="inlineStr">
        <is>
          <t>失败模型数</t>
        </is>
      </c>
      <c r="H1" s="12" t="inlineStr">
        <is>
          <t>模型通过率</t>
        </is>
      </c>
      <c r="I1" s="12" t="inlineStr">
        <is>
          <t>总体评语</t>
        </is>
      </c>
      <c r="J1" s="12" t="inlineStr">
        <is>
          <t>错误描述</t>
        </is>
      </c>
      <c r="K1" s="12" t="inlineStr">
        <is>
          <t>聚合算法</t>
        </is>
      </c>
      <c r="L1" s="12" t="inlineStr">
        <is>
          <t>查看模型</t>
        </is>
      </c>
      <c r="M1" s="12" t="inlineStr">
        <is>
          <t>查看细则</t>
        </is>
      </c>
    </row>
    <row r="2">
      <c r="A2" s="13" t="inlineStr">
        <is>
          <t>失败</t>
        </is>
      </c>
      <c r="B2" s="13" t="n"/>
      <c r="C2" s="13" t="n"/>
      <c r="D2" s="13" t="n"/>
      <c r="E2" s="10" t="inlineStr">
        <is>
          <t>3-张奕灏202502210115职业发展导论.docx</t>
        </is>
      </c>
      <c r="F2" s="13" t="n">
        <v>0</v>
      </c>
      <c r="G2" s="13" t="n">
        <v>0</v>
      </c>
      <c r="H2" s="15">
        <f>IF((F2+G2)=0,"",F2/(F2+G2))</f>
        <v/>
      </c>
      <c r="I2" s="10" t="n"/>
      <c r="J2" s="10" t="inlineStr">
        <is>
          <t>作业文件名未匹配到任何分类关键字，请检查文件名是否包含分类列表名称。</t>
        </is>
      </c>
      <c r="K2" s="13" t="inlineStr">
        <is>
          <t>mean</t>
        </is>
      </c>
      <c r="L2" s="13" t="n"/>
      <c r="M2" s="13" t="n"/>
    </row>
    <row r="3">
      <c r="A3" s="13" t="inlineStr">
        <is>
          <t>成功</t>
        </is>
      </c>
      <c r="B3" s="14" t="n">
        <v>90.75</v>
      </c>
      <c r="C3" s="13" t="inlineStr">
        <is>
          <t>李靖镖</t>
        </is>
      </c>
      <c r="D3" s="13" t="inlineStr">
        <is>
          <t>202502210167</t>
        </is>
      </c>
      <c r="E3" s="10" t="inlineStr">
        <is>
          <t>1-25物联网工程1班李靖镖202502210167专业分析报告.docx</t>
        </is>
      </c>
      <c r="F3" s="13" t="n">
        <v>2</v>
      </c>
      <c r="G3" s="13" t="n">
        <v>0</v>
      </c>
      <c r="H3" s="15">
        <f>IF((F3+G3)=0,"",F3/(F3+G3))</f>
        <v/>
      </c>
      <c r="I3" s="10" t="inlineStr">
        <is>
          <t>本次作业完成质量较高。报告结构完整、逻辑清晰，对物联网行业的分析较为全面深入，数据支撑有力，体现了良好的信息整合能力。AI影响评估部分能够做到客观辩证，正负面影响分析到位，职业规划部分岗位列举详实，匹配度分析具体。整体原创性较高，格式规范，语言流畅。不足之处在于，部分内容的分析深度与广度仍有提升空间，职业规划的发展路径思考稍显笼统，个别细节可以进一步打磨。建议未来在保持现有优势的基础上，加强对核心问题的纵深探讨，并对职业发展路径进行更具体、分阶段的规划，使报告更具前瞻性和实践指导意义。</t>
        </is>
      </c>
      <c r="J3" s="10" t="n"/>
      <c r="K3" s="13" t="inlineStr">
        <is>
          <t>mean</t>
        </is>
      </c>
      <c r="L3" s="13" t="n"/>
      <c r="M3" s="16">
        <f>HYPERLINK("#'细则明细'!A2","查看")</f>
        <v/>
      </c>
    </row>
    <row r="4">
      <c r="A4" s="13" t="inlineStr">
        <is>
          <t>成功</t>
        </is>
      </c>
      <c r="B4" s="14" t="n">
        <v>99.25</v>
      </c>
      <c r="C4" s="13" t="inlineStr">
        <is>
          <t>汤智健</t>
        </is>
      </c>
      <c r="D4" s="13" t="inlineStr">
        <is>
          <t>202502210147</t>
        </is>
      </c>
      <c r="E4" s="10" t="inlineStr">
        <is>
          <t>2-25物联网工程1班 汤智健 202502210147 专业分析报告.docx</t>
        </is>
      </c>
      <c r="F4" s="13" t="n">
        <v>2</v>
      </c>
      <c r="G4" s="13" t="n">
        <v>0</v>
      </c>
      <c r="H4" s="15">
        <f>IF((F4+G4)=0,"",F4/(F4+G4))</f>
        <v/>
      </c>
      <c r="I4" s="10" t="inlineStr">
        <is>
          <t>本次专业分析报告整体完成度很高。优点在于报告结构完整、逻辑清晰，对物联网行业进行了全面深入的分析，数据引用详实，个人见解明确。同时，报告能结合AI技术的影响展开讨论，并在此基础上提出了具体且有针对性个人职业规划，体现了较强的专业认知与前瞻性思考。不足之处在于，部分分析可以进一步深化，例如对AI影响的具体机制或行业挑战的应对策略可做更细致的阐述。建议未来在保持现有框架优势的基础上，加强对关键论点的深度挖掘，并注意在论述中进一步突出个人分析的独到之处，使报告更具批判性和创新性。</t>
        </is>
      </c>
      <c r="J4" s="10" t="n"/>
      <c r="K4" s="13" t="inlineStr">
        <is>
          <t>mean</t>
        </is>
      </c>
      <c r="L4" s="13" t="n"/>
      <c r="M4" s="16">
        <f>HYPERLINK("#'细则明细'!A10","查看")</f>
        <v/>
      </c>
    </row>
  </sheetData>
  <conditionalFormatting sqref="A2:M4">
    <cfRule type="expression" priority="1" dxfId="0">
      <formula>MOD(ROW(),2)=0</formula>
    </cfRule>
  </conditionalFormatting>
  <conditionalFormatting sqref="A2:A4">
    <cfRule type="expression" priority="2" dxfId="1">
      <formula>EXACT($A2,"成功")</formula>
    </cfRule>
    <cfRule type="expression" priority="3" dxfId="2">
      <formula>EXACT($A2,"失败")</formula>
    </cfRule>
  </conditionalFormatting>
  <conditionalFormatting sqref="B2:B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  <cfRule type="expression" priority="8" dxfId="3">
      <formula>TRUE</formula>
    </cfRule>
  </conditionalFormatting>
  <conditionalFormatting sqref="E2:E4">
    <cfRule type="expression" priority="5" dxfId="4">
      <formula>TRUE</formula>
    </cfRule>
  </conditionalFormatting>
  <conditionalFormatting sqref="I2:I4">
    <cfRule type="expression" priority="6" dxfId="1">
      <formula>TRUE</formula>
    </cfRule>
  </conditionalFormatting>
  <conditionalFormatting sqref="J2:J4">
    <cfRule type="expression" priority="7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30" customWidth="1" min="3" max="3"/>
    <col width="10" customWidth="1" min="4" max="4"/>
    <col width="10" customWidth="1" min="5" max="5"/>
    <col width="14" customWidth="1" min="6" max="6"/>
    <col width="40" customWidth="1" min="7" max="7"/>
    <col width="10.4" customWidth="1" min="8" max="8"/>
    <col width="10.4" customWidth="1" min="9" max="9"/>
    <col width="15.2" customWidth="1" min="10" max="10"/>
    <col width="40" customWidth="1" min="11" max="11"/>
    <col width="40" customWidth="1" min="12" max="12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文件名</t>
        </is>
      </c>
      <c r="D1" s="12" t="inlineStr">
        <is>
          <t>主模型-状态</t>
        </is>
      </c>
      <c r="E1" s="12" t="inlineStr">
        <is>
          <t>主模型-分数</t>
        </is>
      </c>
      <c r="F1" s="12" t="inlineStr">
        <is>
          <t>主模型-耗时(ms)</t>
        </is>
      </c>
      <c r="G1" s="12" t="inlineStr">
        <is>
          <t>主模型-评语</t>
        </is>
      </c>
      <c r="H1" s="12" t="inlineStr">
        <is>
          <t>副模型A-状态</t>
        </is>
      </c>
      <c r="I1" s="12" t="inlineStr">
        <is>
          <t>副模型A-分数</t>
        </is>
      </c>
      <c r="J1" s="12" t="inlineStr">
        <is>
          <t>副模型A-耗时(ms)</t>
        </is>
      </c>
      <c r="K1" s="12" t="inlineStr">
        <is>
          <t>副模型A-评语</t>
        </is>
      </c>
      <c r="L1" s="12" t="inlineStr">
        <is>
          <t>总体评语</t>
        </is>
      </c>
    </row>
    <row r="2" ht="60" customHeight="1">
      <c r="A2" s="13" t="n"/>
      <c r="B2" s="13" t="n"/>
      <c r="C2" s="10" t="inlineStr">
        <is>
          <t>3-张奕灏202502210115职业发展导论.docx</t>
        </is>
      </c>
      <c r="D2" s="13" t="inlineStr"/>
      <c r="E2" s="13" t="n"/>
      <c r="F2" s="13" t="n"/>
      <c r="G2" s="10" t="inlineStr">
        <is>
          <t>失败</t>
        </is>
      </c>
      <c r="H2" s="13" t="inlineStr"/>
      <c r="I2" s="13" t="n"/>
      <c r="J2" s="13" t="n"/>
      <c r="K2" s="10" t="inlineStr">
        <is>
          <t>失败</t>
        </is>
      </c>
      <c r="L2" s="10" t="n"/>
    </row>
    <row r="3" ht="60" customHeight="1">
      <c r="A3" s="13" t="inlineStr">
        <is>
          <t>202502210167</t>
        </is>
      </c>
      <c r="B3" s="13" t="inlineStr">
        <is>
          <t>李靖镖</t>
        </is>
      </c>
      <c r="C3" s="10" t="inlineStr">
        <is>
          <t>1-25物联网工程1班李靖镖202502210167专业分析报告.docx</t>
        </is>
      </c>
      <c r="D3" s="13" t="inlineStr">
        <is>
          <t>成功</t>
        </is>
      </c>
      <c r="E3" s="14" t="n">
        <v>86.5</v>
      </c>
      <c r="F3" s="17" t="n">
        <v>40207</v>
      </c>
      <c r="G3" s="10" t="inlineStr">
        <is>
          <t>报告结构完整，逻辑清晰，对物联网行业分析较为全面，数据支撑有力。AI影响评估较为系统，职业规划部分岗位列举详实。整体原创性较高，但部分内容深度与分析广度有待加强，个别细节存在提升空间。</t>
        </is>
      </c>
      <c r="H3" s="13" t="inlineStr">
        <is>
          <t>成功</t>
        </is>
      </c>
      <c r="I3" s="14" t="n">
        <v>95</v>
      </c>
      <c r="J3" s="17" t="n">
        <v>40716</v>
      </c>
      <c r="K3" s="10" t="inlineStr">
        <is>
          <t>报告结构完整，逻辑清晰。行业发展分析全面深入，数据支撑有力。AI影响评估客观辩证，正负面影响分析到位。职业规划部分岗位列举详实，匹配度分析具体，但发展路径思考稍显笼统。报告原创性高，格式规范，语言流畅。</t>
        </is>
      </c>
      <c r="L3" s="10" t="inlineStr">
        <is>
          <t>本次作业完成质量较高。报告结构完整、逻辑清晰，对物联网行业的分析较为全面深入，数据支撑有力，体现了良好的信息整合能力。AI影响评估部分能够做到客观辩证，正负面影响分析到位，职业规划部分岗位列举详实，匹配度分析具体。整体原创性较高，格式规范，语言流畅。不足之处在于，部分内容的分析深度与广度仍有提升空间，职业规划的发展路径思考稍显笼统，个别细节可以进一步打磨。建议未来在保持现有优势的基础上，加强对核心问题的纵深探讨，并对职业发展路径进行更具体、分阶段的规划，使报告更具前瞻性和实践指导意义。</t>
        </is>
      </c>
    </row>
    <row r="4" ht="60" customHeight="1">
      <c r="A4" s="13" t="inlineStr">
        <is>
          <t>202502210147</t>
        </is>
      </c>
      <c r="B4" s="13" t="inlineStr">
        <is>
          <t>汤智健</t>
        </is>
      </c>
      <c r="C4" s="10" t="inlineStr">
        <is>
          <t>2-25物联网工程1班 汤智健 202502210147 专业分析报告.docx</t>
        </is>
      </c>
      <c r="D4" s="13" t="inlineStr">
        <is>
          <t>成功</t>
        </is>
      </c>
      <c r="E4" s="14" t="n">
        <v>98.5</v>
      </c>
      <c r="F4" s="17" t="n">
        <v>86904</v>
      </c>
      <c r="G4" s="10" t="inlineStr">
        <is>
          <t>报告结构完整，逻辑清晰，对物联网行业进行了全面深入的分析，并结合AI影响与个人职业规划，体现了较强的专业认知与规划能力。数据引用较为详实，个人见解明确。整体完成度较高。</t>
        </is>
      </c>
      <c r="H4" s="13" t="inlineStr">
        <is>
          <t>成功</t>
        </is>
      </c>
      <c r="I4" s="14" t="n">
        <v>100</v>
      </c>
      <c r="J4" s="17" t="n">
        <v>85204</v>
      </c>
      <c r="K4" s="10" t="inlineStr">
        <is>
          <t>报告结构完整，逻辑清晰，内容详实，体现了对物联网行业的深入理解和个人思考。对AI影响的分析较为全面，职业规划具体且有针对性。整体完成度高，是一份优秀的专业分析报告。</t>
        </is>
      </c>
      <c r="L4" s="10" t="inlineStr">
        <is>
          <t>本次专业分析报告整体完成度很高。优点在于报告结构完整、逻辑清晰，对物联网行业进行了全面深入的分析，数据引用详实，个人见解明确。同时，报告能结合AI技术的影响展开讨论，并在此基础上提出了具体且有针对性个人职业规划，体现了较强的专业认知与前瞻性思考。不足之处在于，部分分析可以进一步深化，例如对AI影响的具体机制或行业挑战的应对策略可做更细致的阐述。建议未来在保持现有框架优势的基础上，加强对关键论点的深度挖掘，并注意在论述中进一步突出个人分析的独到之处，使报告更具批判性和创新性。</t>
        </is>
      </c>
    </row>
  </sheetData>
  <conditionalFormatting sqref="A2:L4">
    <cfRule type="expression" priority="1" dxfId="0">
      <formula>MOD(ROW(),2)=0</formula>
    </cfRule>
  </conditionalFormatting>
  <conditionalFormatting sqref="D2:D4">
    <cfRule type="expression" priority="2" dxfId="1">
      <formula>EXACT($D2,"成功")</formula>
    </cfRule>
    <cfRule type="expression" priority="3" dxfId="2">
      <formula>EXACT($D2,"失败")</formula>
    </cfRule>
  </conditionalFormatting>
  <conditionalFormatting sqref="H2:H4">
    <cfRule type="expression" priority="4" dxfId="1">
      <formula>EXACT($H2,"成功")</formula>
    </cfRule>
    <cfRule type="expression" priority="5" dxfId="2">
      <formula>EXACT($H2,"失败")</formula>
    </cfRule>
  </conditionalFormatting>
  <conditionalFormatting sqref="E2: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4">
    <cfRule type="expression" priority="8" dxfId="1">
      <formula>TRUE</formula>
    </cfRule>
  </conditionalFormatting>
  <conditionalFormatting sqref="K2:K4">
    <cfRule type="expression" priority="9" dxfId="1">
      <formula>TRUE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.4" customWidth="1" min="6" max="6"/>
    <col width="10" customWidth="1" min="7" max="7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最终分</t>
        </is>
      </c>
      <c r="D1" s="12" t="inlineStr">
        <is>
          <t>AI影响评估</t>
        </is>
      </c>
      <c r="E1" s="12" t="inlineStr">
        <is>
          <t>报告基础要求</t>
        </is>
      </c>
      <c r="F1" s="12" t="inlineStr">
        <is>
          <t>职业规划与认知</t>
        </is>
      </c>
      <c r="G1" s="12" t="inlineStr">
        <is>
          <t>行业发展分析</t>
        </is>
      </c>
    </row>
    <row r="2">
      <c r="A2" s="13" t="n"/>
      <c r="B2" s="13" t="n"/>
      <c r="C2" s="13" t="n"/>
      <c r="D2" s="13" t="n"/>
      <c r="E2" s="13" t="n"/>
      <c r="F2" s="13" t="n"/>
      <c r="G2" s="13" t="n"/>
    </row>
    <row r="3">
      <c r="A3" s="13" t="inlineStr">
        <is>
          <t>202502210167</t>
        </is>
      </c>
      <c r="B3" s="13" t="inlineStr">
        <is>
          <t>李靖镖</t>
        </is>
      </c>
      <c r="C3" s="14" t="n">
        <v>90.75</v>
      </c>
      <c r="D3" s="14" t="n">
        <v>27.5</v>
      </c>
      <c r="E3" s="14" t="n">
        <v>19.75</v>
      </c>
      <c r="F3" s="14" t="n">
        <v>17.5</v>
      </c>
      <c r="G3" s="14" t="n">
        <v>26</v>
      </c>
    </row>
    <row r="4">
      <c r="A4" s="13" t="inlineStr">
        <is>
          <t>202502210147</t>
        </is>
      </c>
      <c r="B4" s="13" t="inlineStr">
        <is>
          <t>汤智健</t>
        </is>
      </c>
      <c r="C4" s="14" t="n">
        <v>99.25</v>
      </c>
      <c r="D4" s="14" t="n">
        <v>29.75</v>
      </c>
      <c r="E4" s="14" t="n">
        <v>20</v>
      </c>
      <c r="F4" s="14" t="n">
        <v>19.75</v>
      </c>
      <c r="G4" s="14" t="n">
        <v>29.75</v>
      </c>
    </row>
  </sheetData>
  <conditionalFormatting sqref="A2:G4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10.4" customWidth="1" min="3" max="3"/>
    <col width="12.8" customWidth="1" min="4" max="4"/>
    <col width="10" customWidth="1" min="5" max="5"/>
    <col width="10" customWidth="1" min="6" max="6"/>
    <col width="10" customWidth="1" min="7" max="7"/>
    <col width="40" customWidth="1" min="8" max="8"/>
    <col width="30" customWidth="1" min="9" max="9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维度</t>
        </is>
      </c>
      <c r="D1" s="12" t="inlineStr">
        <is>
          <t>细则项</t>
        </is>
      </c>
      <c r="E1" s="12" t="inlineStr">
        <is>
          <t>该项总分</t>
        </is>
      </c>
      <c r="F1" s="12" t="inlineStr">
        <is>
          <t>得分</t>
        </is>
      </c>
      <c r="G1" s="12" t="inlineStr">
        <is>
          <t>扣分</t>
        </is>
      </c>
      <c r="H1" s="12" t="inlineStr">
        <is>
          <t>原因说明</t>
        </is>
      </c>
      <c r="I1" s="12" t="inlineStr">
        <is>
          <t>改进建议</t>
        </is>
      </c>
    </row>
    <row r="2">
      <c r="A2" s="13" t="inlineStr">
        <is>
          <t>202502210167</t>
        </is>
      </c>
      <c r="B2" s="13" t="inlineStr">
        <is>
          <t>李靖镖</t>
        </is>
      </c>
      <c r="C2" s="13" t="inlineStr">
        <is>
          <t>行业发展分析</t>
        </is>
      </c>
      <c r="D2" s="10" t="inlineStr">
        <is>
          <t>分析广度与深度</t>
        </is>
      </c>
      <c r="E2" s="14" t="n">
        <v>15</v>
      </c>
      <c r="F2" s="14" t="n">
        <v>12</v>
      </c>
      <c r="G2" s="14" t="n">
        <v>3</v>
      </c>
      <c r="H2" s="10" t="inlineStr">
        <is>
          <t>报告对行业现状、趋势分析较为全面，有具体数据和案例支撑，逻辑清晰。但对行业历史沿革的分析基本缺失，对关键驱动因素的剖析深度不足，扣3分。</t>
        </is>
      </c>
      <c r="I2" s="10" t="inlineStr"/>
    </row>
    <row r="3">
      <c r="A3" s="13" t="inlineStr">
        <is>
          <t>202502210167</t>
        </is>
      </c>
      <c r="B3" s="13" t="inlineStr">
        <is>
          <t>李靖镖</t>
        </is>
      </c>
      <c r="C3" s="13" t="inlineStr">
        <is>
          <t>行业发展分析</t>
        </is>
      </c>
      <c r="D3" s="10" t="inlineStr">
        <is>
          <t>资料与洞察</t>
        </is>
      </c>
      <c r="E3" s="14" t="n">
        <v>15</v>
      </c>
      <c r="F3" s="14" t="n">
        <v>11</v>
      </c>
      <c r="G3" s="14" t="n">
        <v>4</v>
      </c>
      <c r="H3" s="10" t="inlineStr">
        <is>
          <t>引用资料（如市场规模、政策、案例）较为具体，具有一定权威性。但报告内容多为事实与数据的罗列与整合，基于资料提炼出的个人独到见解与判断相对有限，扣4分。</t>
        </is>
      </c>
      <c r="I3" s="10" t="inlineStr"/>
    </row>
    <row r="4">
      <c r="A4" s="13" t="inlineStr">
        <is>
          <t>202502210167</t>
        </is>
      </c>
      <c r="B4" s="13" t="inlineStr">
        <is>
          <t>李靖镖</t>
        </is>
      </c>
      <c r="C4" s="13" t="inlineStr">
        <is>
          <t>AI影响评估</t>
        </is>
      </c>
      <c r="D4" s="10" t="inlineStr">
        <is>
          <t>正面影响分析</t>
        </is>
      </c>
      <c r="E4" s="14" t="n">
        <v>15</v>
      </c>
      <c r="F4" s="14" t="n">
        <v>13.5</v>
      </c>
      <c r="G4" s="14" t="n">
        <v>1.5</v>
      </c>
      <c r="H4" s="10" t="inlineStr">
        <is>
          <t>从智能决策、协同效率、数据价值挖掘三个方面系统阐述了AI的赋能作用，论证较为充分，有具体案例支撑。但部分论述可进一步深化，扣1.5分。</t>
        </is>
      </c>
      <c r="I4" s="10" t="inlineStr"/>
    </row>
    <row r="5">
      <c r="A5" s="13" t="inlineStr">
        <is>
          <t>202502210167</t>
        </is>
      </c>
      <c r="B5" s="13" t="inlineStr">
        <is>
          <t>李靖镖</t>
        </is>
      </c>
      <c r="C5" s="13" t="inlineStr">
        <is>
          <t>AI影响评估</t>
        </is>
      </c>
      <c r="D5" s="10" t="inlineStr">
        <is>
          <t>负面影响与挑战分析</t>
        </is>
      </c>
      <c r="E5" s="14" t="n">
        <v>15</v>
      </c>
      <c r="F5" s="14" t="n">
        <v>13</v>
      </c>
      <c r="G5" s="14" t="n">
        <v>2</v>
      </c>
      <c r="H5" s="10" t="inlineStr">
        <is>
          <t>客观分析了行业分化、人才结构失衡、安全、成本、技术协同等挑战，并提出了初步的应对思考（如关注问题）。但应对思考的深度和具体性有待加强，扣2分。</t>
        </is>
      </c>
      <c r="I5" s="10" t="inlineStr"/>
    </row>
    <row r="6">
      <c r="A6" s="13" t="inlineStr">
        <is>
          <t>202502210167</t>
        </is>
      </c>
      <c r="B6" s="13" t="inlineStr">
        <is>
          <t>李靖镖</t>
        </is>
      </c>
      <c r="C6" s="13" t="inlineStr">
        <is>
          <t>职业规划与认知</t>
        </is>
      </c>
      <c r="D6" s="10" t="inlineStr">
        <is>
          <t>岗位匹配度分析</t>
        </is>
      </c>
      <c r="E6" s="14" t="n">
        <v>10</v>
      </c>
      <c r="F6" s="14" t="n">
        <v>9.5</v>
      </c>
      <c r="G6" s="14" t="n">
        <v>0.5</v>
      </c>
      <c r="H6" s="10" t="inlineStr">
        <is>
          <t>清晰列出了四大类多个具体岗位，并详细说明了岗位职责、技能要求及与专业知识的匹配点，内容详实。但部分岗位（如公职类）与个人技能的具体匹配点分析稍显笼统，扣0.5分。</t>
        </is>
      </c>
      <c r="I6" s="10" t="inlineStr"/>
    </row>
    <row r="7">
      <c r="A7" s="13" t="inlineStr">
        <is>
          <t>202502210167</t>
        </is>
      </c>
      <c r="B7" s="13" t="inlineStr">
        <is>
          <t>李靖镖</t>
        </is>
      </c>
      <c r="C7" s="13" t="inlineStr">
        <is>
          <t>职业规划与认知</t>
        </is>
      </c>
      <c r="D7" s="10" t="inlineStr">
        <is>
          <t>发展路径思考</t>
        </is>
      </c>
      <c r="E7" s="14" t="n">
        <v>10</v>
      </c>
      <c r="F7" s="14" t="n">
        <v>8</v>
      </c>
      <c r="G7" s="14" t="n">
        <v>2</v>
      </c>
      <c r="H7" s="10" t="inlineStr">
        <is>
          <t>在总结部分提出了技能进阶（夯实基础、学习AI）和角色转变（深耕细分领域）的初步思考，并结合了行业趋势。但发展路径规划较为宏观，缺乏更具体、分阶段的个人成长规划，扣2分。</t>
        </is>
      </c>
      <c r="I7" s="10" t="inlineStr"/>
    </row>
    <row r="8">
      <c r="A8" s="13" t="inlineStr">
        <is>
          <t>202502210167</t>
        </is>
      </c>
      <c r="B8" s="13" t="inlineStr">
        <is>
          <t>李靖镖</t>
        </is>
      </c>
      <c r="C8" s="13" t="inlineStr">
        <is>
          <t>报告基础要求</t>
        </is>
      </c>
      <c r="D8" s="10" t="inlineStr">
        <is>
          <t>内容原创与完整性</t>
        </is>
      </c>
      <c r="E8" s="14" t="n">
        <v>10</v>
      </c>
      <c r="F8" s="14" t="n">
        <v>9.5</v>
      </c>
      <c r="G8" s="14" t="n">
        <v>0.5</v>
      </c>
      <c r="H8" s="10" t="inlineStr">
        <is>
          <t>报告内容完整，结构合理，逻辑连贯。内容呈现明显的个人整合、分析与加工痕迹，非简单AI生成，符合要求。个别段落整合痕迹稍重，扣0.5分。</t>
        </is>
      </c>
      <c r="I8" s="10" t="inlineStr"/>
    </row>
    <row r="9">
      <c r="A9" s="13" t="inlineStr">
        <is>
          <t>202502210167</t>
        </is>
      </c>
      <c r="B9" s="13" t="inlineStr">
        <is>
          <t>李靖镖</t>
        </is>
      </c>
      <c r="C9" s="13" t="inlineStr">
        <is>
          <t>报告基础要求</t>
        </is>
      </c>
      <c r="D9" s="10" t="inlineStr">
        <is>
          <t>字数与格式规范</t>
        </is>
      </c>
      <c r="E9" s="14" t="n">
        <v>10</v>
      </c>
      <c r="F9" s="14" t="n">
        <v>10</v>
      </c>
      <c r="G9" s="14" t="n">
        <v>0</v>
      </c>
      <c r="H9" s="10" t="inlineStr">
        <is>
          <t>正文部分字数远超2000字要求。格式规范，排版清晰，语言通顺，无明显语病和错别字。</t>
        </is>
      </c>
      <c r="I9" s="10" t="inlineStr"/>
    </row>
    <row r="10">
      <c r="A10" s="13" t="inlineStr">
        <is>
          <t>202502210147</t>
        </is>
      </c>
      <c r="B10" s="13" t="inlineStr">
        <is>
          <t>汤智健</t>
        </is>
      </c>
      <c r="C10" s="13" t="inlineStr">
        <is>
          <t>行业发展分析</t>
        </is>
      </c>
      <c r="D10" s="10" t="inlineStr">
        <is>
          <t>分析广度与深度</t>
        </is>
      </c>
      <c r="E10" s="14" t="n">
        <v>15</v>
      </c>
      <c r="F10" s="14" t="n">
        <v>15</v>
      </c>
      <c r="G10" s="14" t="n">
        <v>0</v>
      </c>
      <c r="H10" s="10" t="inlineStr">
        <is>
          <t>分析全面且深入。详细阐述了物联网行业的历史沿革（专业认知演变）、当前现状（市场规模、应用分布、连接数、投资结构）、关键驱动因素（技术演进、企业布局）及未来趋势（智能网联、工业互联网深化等），并提供了大量具体数据和案例支撑，逻辑清晰。</t>
        </is>
      </c>
      <c r="I10" s="10" t="inlineStr"/>
    </row>
    <row r="11">
      <c r="A11" s="13" t="inlineStr">
        <is>
          <t>202502210147</t>
        </is>
      </c>
      <c r="B11" s="13" t="inlineStr">
        <is>
          <t>汤智健</t>
        </is>
      </c>
      <c r="C11" s="13" t="inlineStr">
        <is>
          <t>行业发展分析</t>
        </is>
      </c>
      <c r="D11" s="10" t="inlineStr">
        <is>
          <t>资料与洞察</t>
        </is>
      </c>
      <c r="E11" s="14" t="n">
        <v>15</v>
      </c>
      <c r="F11" s="14" t="n">
        <v>14.5</v>
      </c>
      <c r="G11" s="14" t="n">
        <v>0.5</v>
      </c>
      <c r="H11" s="10" t="inlineStr">
        <is>
          <t>引用资料（如GSMA、IDC、信通院报告）准确、权威。能够基于数据提炼出个人独到的见解，如对专业能力体系四个核心层次的深度解读、对社会价值三维度的量化分析、对企业技术布局的战略性评述等，体现了良好的分析判断能力。扣0.5分，部分企业案例分析深度可进一步加强。</t>
        </is>
      </c>
      <c r="I11" s="10" t="inlineStr"/>
    </row>
    <row r="12">
      <c r="A12" s="13" t="inlineStr">
        <is>
          <t>202502210147</t>
        </is>
      </c>
      <c r="B12" s="13" t="inlineStr">
        <is>
          <t>汤智健</t>
        </is>
      </c>
      <c r="C12" s="13" t="inlineStr">
        <is>
          <t>AI影响评估</t>
        </is>
      </c>
      <c r="D12" s="10" t="inlineStr">
        <is>
          <t>正面影响分析</t>
        </is>
      </c>
      <c r="E12" s="14" t="n">
        <v>15</v>
      </c>
      <c r="F12" s="14" t="n">
        <v>15</v>
      </c>
      <c r="G12" s="14" t="n">
        <v>0</v>
      </c>
      <c r="H12" s="10" t="inlineStr">
        <is>
          <t>系统阐述了AI技术对物联网行业的赋能作用。具体说明了在效率提升（开发流程重构、运维模式变革）、模式创新（低代码平台、AIoT开发框架）、产品/服务升级（数据分析平台自动化）等方面的积极影响，论证充分，有具体数据和机制说明。</t>
        </is>
      </c>
      <c r="I12" s="10" t="inlineStr"/>
    </row>
    <row r="13">
      <c r="A13" s="13" t="inlineStr">
        <is>
          <t>202502210147</t>
        </is>
      </c>
      <c r="B13" s="13" t="inlineStr">
        <is>
          <t>汤智健</t>
        </is>
      </c>
      <c r="C13" s="13" t="inlineStr">
        <is>
          <t>AI影响评估</t>
        </is>
      </c>
      <c r="D13" s="10" t="inlineStr">
        <is>
          <t>负面影响与挑战分析</t>
        </is>
      </c>
      <c r="E13" s="14" t="n">
        <v>15</v>
      </c>
      <c r="F13" s="14" t="n">
        <v>14.5</v>
      </c>
      <c r="G13" s="14" t="n">
        <v>0.5</v>
      </c>
      <c r="H13" s="10" t="inlineStr">
        <is>
          <t>客观分析了AI可能带来的问题与挑战，包括就业结构变化（初级岗位转型）、技术性失业风险、技术依赖等。并基于人才报告数据提出了初步的应对思考（如培养系统化思维、跨领域融合能力、建立持续学习机制）。分析较为全面。扣0.5分，对伦理风险、数据隐私等挑战的探讨可更深入。</t>
        </is>
      </c>
      <c r="I13" s="10" t="inlineStr"/>
    </row>
    <row r="14">
      <c r="A14" s="13" t="inlineStr">
        <is>
          <t>202502210147</t>
        </is>
      </c>
      <c r="B14" s="13" t="inlineStr">
        <is>
          <t>汤智健</t>
        </is>
      </c>
      <c r="C14" s="13" t="inlineStr">
        <is>
          <t>职业规划与认知</t>
        </is>
      </c>
      <c r="D14" s="10" t="inlineStr">
        <is>
          <t>岗位匹配度分析</t>
        </is>
      </c>
      <c r="E14" s="14" t="n">
        <v>10</v>
      </c>
      <c r="F14" s="14" t="n">
        <v>10</v>
      </c>
      <c r="G14" s="14" t="n">
        <v>0</v>
      </c>
      <c r="H14" s="10" t="inlineStr">
        <is>
          <t>清晰列出了“物联网解决方案架构师”这一具体岗位，并详细说明了个人技能（技术广度、行业知识、软技能）和专业知识（四个核心层次能力）与目标岗位要求的匹配点，分析具体且有针对性。</t>
        </is>
      </c>
      <c r="I14" s="10" t="inlineStr"/>
    </row>
    <row r="15">
      <c r="A15" s="13" t="inlineStr">
        <is>
          <t>202502210147</t>
        </is>
      </c>
      <c r="B15" s="13" t="inlineStr">
        <is>
          <t>汤智健</t>
        </is>
      </c>
      <c r="C15" s="13" t="inlineStr">
        <is>
          <t>职业规划与认知</t>
        </is>
      </c>
      <c r="D15" s="10" t="inlineStr">
        <is>
          <t>发展路径思考</t>
        </is>
      </c>
      <c r="E15" s="14" t="n">
        <v>10</v>
      </c>
      <c r="F15" s="14" t="n">
        <v>9.5</v>
      </c>
      <c r="G15" s="14" t="n">
        <v>0.5</v>
      </c>
      <c r="H15" s="10" t="inlineStr">
        <is>
          <t>结合行业趋势与AI影响，对所选岗位的未来发展路径有初步且合理的规划与思考，包括技能进阶（技术深度与广度、行业解决方案能力）和综合素质提升（认证、实践）的具体计划，并设计了评估与调整机制。规划系统性强。扣0.5分，对长期（如5-10年）角色转变的思考可进一步展开。</t>
        </is>
      </c>
      <c r="I15" s="10" t="inlineStr"/>
    </row>
    <row r="16">
      <c r="A16" s="13" t="inlineStr">
        <is>
          <t>202502210147</t>
        </is>
      </c>
      <c r="B16" s="13" t="inlineStr">
        <is>
          <t>汤智健</t>
        </is>
      </c>
      <c r="C16" s="13" t="inlineStr">
        <is>
          <t>报告基础要求</t>
        </is>
      </c>
      <c r="D16" s="10" t="inlineStr">
        <is>
          <t>内容原创与完整性</t>
        </is>
      </c>
      <c r="E16" s="14" t="n">
        <v>10</v>
      </c>
      <c r="F16" s="14" t="n">
        <v>10</v>
      </c>
      <c r="G16" s="14" t="n">
        <v>0</v>
      </c>
      <c r="H16" s="10" t="inlineStr">
        <is>
          <t>报告内容完整，结构合理，逻辑连贯。全文体现出明显的个人深度加工和分析痕迹，如专业认知的演变、能力体系的构建、社会价值的量化分析、个人职业规划的详细制定等，并非简单罗列或AI生成，符合原创性要求。</t>
        </is>
      </c>
      <c r="I16" s="10" t="inlineStr"/>
    </row>
    <row r="17">
      <c r="A17" s="13" t="inlineStr">
        <is>
          <t>202502210147</t>
        </is>
      </c>
      <c r="B17" s="13" t="inlineStr">
        <is>
          <t>汤智健</t>
        </is>
      </c>
      <c r="C17" s="13" t="inlineStr">
        <is>
          <t>报告基础要求</t>
        </is>
      </c>
      <c r="D17" s="10" t="inlineStr">
        <is>
          <t>字数与格式规范</t>
        </is>
      </c>
      <c r="E17" s="14" t="n">
        <v>10</v>
      </c>
      <c r="F17" s="14" t="n">
        <v>10</v>
      </c>
      <c r="G17" s="14" t="n">
        <v>0</v>
      </c>
      <c r="H17" s="10" t="inlineStr">
        <is>
          <t>正文部分远超2000字要求（约4200字）。报告格式规范，目录清晰，排版有序，语言通顺专业，无明显语病和错别字。</t>
        </is>
      </c>
      <c r="I17" s="10" t="inlineStr"/>
    </row>
  </sheetData>
  <conditionalFormatting sqref="A2:I17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</cols>
  <sheetData>
    <row r="1" ht="24" customHeight="1">
      <c r="A1" s="12" t="inlineStr">
        <is>
          <t>字段</t>
        </is>
      </c>
      <c r="B1" s="12" t="inlineStr">
        <is>
          <t>值</t>
        </is>
      </c>
    </row>
    <row r="2">
      <c r="A2" s="13" t="inlineStr">
        <is>
          <t>批次ID</t>
        </is>
      </c>
      <c r="B2" s="10" t="inlineStr">
        <is>
          <t>batch-20260108-141032-rz6nmi</t>
        </is>
      </c>
    </row>
    <row r="3">
      <c r="A3" s="13" t="inlineStr">
        <is>
          <t>目标满分</t>
        </is>
      </c>
      <c r="B3" s="10" t="inlineStr">
        <is>
          <t>60.0</t>
        </is>
      </c>
    </row>
    <row r="4">
      <c r="A4" s="13" t="inlineStr">
        <is>
          <t>规则满分（可能多值）</t>
        </is>
      </c>
      <c r="B4" s="10" t="inlineStr">
        <is>
          <t>100.0</t>
        </is>
      </c>
    </row>
    <row r="5">
      <c r="A5" s="13" t="inlineStr">
        <is>
          <t>模型列表</t>
        </is>
      </c>
      <c r="B5" s="10" t="inlineStr">
        <is>
          <t>deepseek-ai/DeepSeek-V3.2@https://api.siliconflow.cn/v1/chat/completions；deepseek-ai/DeepSeek-V3.2@https://api.siliconflow.cn/v1/chat/completions</t>
        </is>
      </c>
    </row>
    <row r="6">
      <c r="A6" s="13" t="inlineStr">
        <is>
          <t>聚合算法</t>
        </is>
      </c>
      <c r="B6" s="10" t="inlineStr">
        <is>
          <t>平均分（成功模型）</t>
        </is>
      </c>
    </row>
    <row r="7">
      <c r="A7" s="13" t="inlineStr">
        <is>
          <t>多模型总体评语</t>
        </is>
      </c>
      <c r="B7" s="10" t="inlineStr">
        <is>
          <t>启用多模型时，会用主模型二次生成总体评语（JSON）</t>
        </is>
      </c>
    </row>
    <row r="8">
      <c r="A8" s="13" t="inlineStr">
        <is>
          <t>并发限制</t>
        </is>
      </c>
      <c r="B8" s="10" t="inlineStr">
        <is>
          <t>文件=5；模型=2/接口；单次超时=300秒；重试=3次</t>
        </is>
      </c>
    </row>
    <row r="9">
      <c r="A9" s="13" t="inlineStr">
        <is>
          <t>文件总数</t>
        </is>
      </c>
      <c r="B9" s="10" t="inlineStr">
        <is>
          <t>3</t>
        </is>
      </c>
    </row>
    <row r="10">
      <c r="A10" s="13" t="inlineStr">
        <is>
          <t>成功数</t>
        </is>
      </c>
      <c r="B10" s="10" t="inlineStr">
        <is>
          <t>2</t>
        </is>
      </c>
    </row>
    <row r="11">
      <c r="A11" s="13" t="inlineStr">
        <is>
          <t>失败数</t>
        </is>
      </c>
      <c r="B11" s="10" t="inlineStr">
        <is>
          <t>1</t>
        </is>
      </c>
    </row>
    <row r="12">
      <c r="A12" s="13" t="inlineStr">
        <is>
          <t>平均分（目标满分制）</t>
        </is>
      </c>
      <c r="B12" s="10" t="inlineStr">
        <is>
          <t>95.0</t>
        </is>
      </c>
    </row>
    <row r="13">
      <c r="A13" s="13" t="inlineStr">
        <is>
          <t>平均规则分</t>
        </is>
      </c>
      <c r="B13" s="10" t="inlineStr">
        <is>
          <t>92.5</t>
        </is>
      </c>
    </row>
  </sheetData>
  <conditionalFormatting sqref="A2:B13">
    <cfRule type="expression" priority="1" dxfId="0">
      <formula>MOD(ROW(),2)=0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3.6" customWidth="1" min="3" max="3"/>
  </cols>
  <sheetData>
    <row r="1" ht="24" customHeight="1">
      <c r="A1" s="12" t="inlineStr">
        <is>
          <t>错误类型</t>
        </is>
      </c>
      <c r="B1" s="12" t="inlineStr">
        <is>
          <t>数量</t>
        </is>
      </c>
      <c r="C1" s="12" t="inlineStr">
        <is>
          <t>占比</t>
        </is>
      </c>
    </row>
    <row r="2">
      <c r="A2" s="13" t="inlineStr">
        <is>
          <t>解析校验错误</t>
        </is>
      </c>
      <c r="B2" s="13" t="n">
        <v>1</v>
      </c>
      <c r="C2" s="15">
        <f>B2/SUM($B$2:$B$2)</f>
        <v/>
      </c>
    </row>
  </sheetData>
  <conditionalFormatting sqref="A2:C2">
    <cfRule type="expression" priority="1" dxfId="0">
      <formula>MOD(ROW(),2)=0</formula>
    </cfRule>
  </conditionalFormatting>
  <conditionalFormatting sqref="B2">
    <cfRule type="expression" priority="2" dxfId="4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2026-01-08T06:12:12Z</dcterms:created>
  <dcterms:modified xmlns:dcterms="http://purl.org/dc/terms/" xmlns:xsi="http://www.w3.org/2001/XMLSchema-instance" xsi:type="dcterms:W3CDTF">2026-01-08T06:12:13Z</dcterms:modified>
</cp:coreProperties>
</file>