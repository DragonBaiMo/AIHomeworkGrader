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数据" sheetId="2" state="visible" r:id="rId2"/>
    <sheet xmlns:r="http://schemas.openxmlformats.org/officeDocument/2006/relationships" name="按学号汇总" sheetId="3" state="visible" r:id="rId3"/>
    <sheet xmlns:r="http://schemas.openxmlformats.org/officeDocument/2006/relationships" name="成绩总览" sheetId="4" state="visible" r:id="rId4"/>
    <sheet xmlns:r="http://schemas.openxmlformats.org/officeDocument/2006/relationships" name="批改模型结果（宽表）" sheetId="5" state="visible" r:id="rId5"/>
    <sheet xmlns:r="http://schemas.openxmlformats.org/officeDocument/2006/relationships" name="维度汇总" sheetId="6" state="visible" r:id="rId6"/>
    <sheet xmlns:r="http://schemas.openxmlformats.org/officeDocument/2006/relationships" name="细则明细" sheetId="7" state="visible" r:id="rId7"/>
    <sheet xmlns:r="http://schemas.openxmlformats.org/officeDocument/2006/relationships" name="批次总览" sheetId="8" state="visible" r:id="rId8"/>
    <sheet xmlns:r="http://schemas.openxmlformats.org/officeDocument/2006/relationships" name="错误统计" sheetId="9" state="visible" r:id="rId9"/>
  </sheets>
  <definedNames>
    <definedName name="_xlnm.Print_Titles" localSheetId="0">'Dashboard'!$1:$1</definedName>
    <definedName name="_xlnm.Print_Titles" localSheetId="1">'数据'!$1:$1</definedName>
    <definedName name="_xlnm.Print_Titles" localSheetId="2">'按学号汇总'!$1:$1</definedName>
    <definedName name="_xlnm.Print_Titles" localSheetId="3">'成绩总览'!$1:$1</definedName>
    <definedName name="_xlnm.Print_Titles" localSheetId="4">'批改模型结果（宽表）'!$1:$1</definedName>
    <definedName name="_xlnm.Print_Titles" localSheetId="5">'维度汇总'!$1:$1</definedName>
    <definedName name="_xlnm.Print_Titles" localSheetId="6">'细则明细'!$1:$1</definedName>
    <definedName name="_xlnm.Print_Titles" localSheetId="7">'批次总览'!$1:$1</definedName>
    <definedName name="_xlnm.Print_Titles" localSheetId="8">'错误统计'!$1:$1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FFFFFF"/>
      <sz val="18"/>
    </font>
    <font>
      <color rgb="006B7280"/>
    </font>
    <font>
      <b val="1"/>
      <color rgb="002B2B2B"/>
      <sz val="12"/>
    </font>
    <font>
      <b val="1"/>
      <color rgb="002B2B2B"/>
      <sz val="22"/>
    </font>
    <font>
      <b val="1"/>
      <color rgb="002B2B2B"/>
      <sz val="14"/>
    </font>
    <font>
      <b val="1"/>
      <color rgb="002B2B2B"/>
      <sz val="13"/>
    </font>
    <font>
      <b val="1"/>
      <color rgb="00FFFFFF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0B2F5B"/>
      </patternFill>
    </fill>
    <fill>
      <patternFill patternType="solid">
        <fgColor rgb="00F2F5F9"/>
      </patternFill>
    </fill>
    <fill>
      <patternFill patternType="solid">
        <fgColor rgb="001F4E79"/>
      </patternFill>
    </fill>
  </fills>
  <borders count="4">
    <border>
      <left/>
      <right/>
      <top/>
      <bottom/>
      <diagonal/>
    </border>
    <border>
      <left style="thin">
        <color rgb="00D6DCE5"/>
      </left>
      <right style="thin">
        <color rgb="00D6DCE5"/>
      </right>
      <top style="thin">
        <color rgb="00D6DCE5"/>
      </top>
      <bottom style="thin">
        <color rgb="00D6DCE5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3" borderId="1" pivotButton="0" quotePrefix="0" xfId="0"/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4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top" wrapText="1"/>
    </xf>
    <xf numFmtId="0" fontId="8" fillId="0" borderId="0" pivotButton="0" quotePrefix="0" xfId="0"/>
    <xf numFmtId="0" fontId="7" fillId="4" borderId="3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/>
    </xf>
    <xf numFmtId="2" fontId="0" fillId="0" borderId="3" applyAlignment="1" pivotButton="0" quotePrefix="0" xfId="0">
      <alignment horizontal="left" vertical="top"/>
    </xf>
    <xf numFmtId="164" fontId="0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1" fontId="0" fillId="0" borderId="3" applyAlignment="1" pivotButton="0" quotePrefix="0" xfId="0">
      <alignment horizontal="left" vertical="top"/>
    </xf>
  </cellXfs>
  <cellStyles count="1">
    <cellStyle name="Normal" xfId="0" builtinId="0" hidden="0"/>
  </cellStyles>
  <dxfs count="5">
    <dxf>
      <fill>
        <patternFill patternType="solid">
          <fgColor rgb="00F8FBFF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1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状态分布</a:t>
            </a:r>
          </a:p>
        </rich>
      </tx>
    </title>
    <plotArea>
      <pieChart>
        <varyColors val="1"/>
        <ser>
          <idx val="0"/>
          <order val="0"/>
          <tx>
            <strRef>
              <f>'数据'!B1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'数据'!$A$2:$A$3</f>
            </numRef>
          </cat>
          <val>
            <numRef>
              <f>'数据'!$B$2:$B$3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分数分布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'数据'!B5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'数据'!$A$6:$A$15</f>
            </numRef>
          </cat>
          <val>
            <numRef>
              <f>'数据'!$B$6:$B$15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分数段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人数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维度均分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'数据'!E1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'数据'!$D$2:$D$19</f>
            </numRef>
          </cat>
          <val>
            <numRef>
              <f>'数据'!$E$2:$E$19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维度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均分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324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12</row>
      <rowOff>0</rowOff>
    </from>
    <ext cx="432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12</row>
      <rowOff>0</rowOff>
    </from>
    <ext cx="432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tudentIdSummary" displayName="StudentIdSummary" ref="A1:J5" headerRowCount="1">
  <autoFilter ref="A1:J5"/>
  <tableColumns count="10">
    <tableColumn id="1" name="学号"/>
    <tableColumn id="2" name="姓名"/>
    <tableColumn id="3" name="当前分数"/>
    <tableColumn id="4" name="AI使用合规与原创性（AI率扣分）"/>
    <tableColumn id="5" name="AI影响评估"/>
    <tableColumn id="6" name="报告基础要求"/>
    <tableColumn id="7" name="职业规划与认知"/>
    <tableColumn id="8" name="行业发展分析"/>
    <tableColumn id="9" name="总体评语"/>
    <tableColumn id="10" name="目标总分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OverviewTbl" displayName="OverviewTbl" ref="A1:M5" headerRowCount="1">
  <autoFilter ref="A1:M5"/>
  <tableColumns count="13">
    <tableColumn id="1" name="状态"/>
    <tableColumn id="2" name="最终分"/>
    <tableColumn id="3" name="姓名"/>
    <tableColumn id="4" name="学号"/>
    <tableColumn id="5" name="文件名"/>
    <tableColumn id="6" name="成功模型数"/>
    <tableColumn id="7" name="失败模型数"/>
    <tableColumn id="8" name="模型通过率"/>
    <tableColumn id="9" name="总体评语"/>
    <tableColumn id="10" name="错误描述"/>
    <tableColumn id="11" name="聚合算法"/>
    <tableColumn id="12" name="查看模型"/>
    <tableColumn id="13" name="查看细则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ModelWide" displayName="ModelWide" ref="A1:L5" headerRowCount="1">
  <autoFilter ref="A1:L5"/>
  <tableColumns count="12">
    <tableColumn id="1" name="学号"/>
    <tableColumn id="2" name="姓名"/>
    <tableColumn id="3" name="文件名"/>
    <tableColumn id="4" name="主模型-状态"/>
    <tableColumn id="5" name="主模型-分数"/>
    <tableColumn id="6" name="主模型-耗时(ms)"/>
    <tableColumn id="7" name="主模型-评语"/>
    <tableColumn id="8" name="副模型A-状态"/>
    <tableColumn id="9" name="副模型A-分数"/>
    <tableColumn id="10" name="副模型A-耗时(ms)"/>
    <tableColumn id="11" name="副模型A-评语"/>
    <tableColumn id="12" name="总体评语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DimSummary" displayName="DimSummary" ref="A1:H5" headerRowCount="1">
  <autoFilter ref="A1:H5"/>
  <tableColumns count="8">
    <tableColumn id="1" name="学号"/>
    <tableColumn id="2" name="姓名"/>
    <tableColumn id="3" name="最终分"/>
    <tableColumn id="4" name="AI使用合规与原创性（AI率扣分）"/>
    <tableColumn id="5" name="AI影响评估"/>
    <tableColumn id="6" name="报告基础要求"/>
    <tableColumn id="7" name="职业规划与认知"/>
    <tableColumn id="8" name="行业发展分析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RubricDetail" displayName="RubricDetail" ref="A1:I37" headerRowCount="1">
  <autoFilter ref="A1:I37"/>
  <tableColumns count="9">
    <tableColumn id="1" name="学号"/>
    <tableColumn id="2" name="姓名"/>
    <tableColumn id="3" name="维度"/>
    <tableColumn id="4" name="细则项"/>
    <tableColumn id="5" name="该项总分"/>
    <tableColumn id="6" name="得分"/>
    <tableColumn id="7" name="扣分"/>
    <tableColumn id="8" name="原因说明"/>
    <tableColumn id="9" name="改进建议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BatchSummary" displayName="BatchSummary" ref="A1:B13" headerRowCount="1">
  <autoFilter ref="A1:B13"/>
  <tableColumns count="2">
    <tableColumn id="1" name="字段"/>
    <tableColumn id="2" name="值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ErrStats" displayName="ErrStats" ref="A1:C2" headerRowCount="1">
  <autoFilter ref="A1:C2"/>
  <tableColumns count="3">
    <tableColumn id="1" name="错误类型"/>
    <tableColumn id="2" name="数量"/>
    <tableColumn id="3" name="占比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zoomScale="11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2" customWidth="1" min="4" max="4"/>
    <col width="18" customWidth="1" min="5" max="5"/>
    <col width="18" customWidth="1" min="6" max="6"/>
    <col width="2" customWidth="1" min="7" max="7"/>
    <col width="18" customWidth="1" min="8" max="8"/>
    <col width="18" customWidth="1" min="9" max="9"/>
    <col width="18" customWidth="1" min="10" max="10"/>
    <col width="18" customWidth="1" min="11" max="11"/>
    <col width="2" customWidth="1" min="12" max="12"/>
  </cols>
  <sheetData>
    <row r="1" ht="34" customHeight="1">
      <c r="A1" s="1" t="inlineStr">
        <is>
          <t>作业批改结果 · batch-20260108-144625-wekk2k</t>
        </is>
      </c>
    </row>
    <row r="3" ht="20" customHeight="1">
      <c r="A3" s="2" t="inlineStr">
        <is>
          <t>生成时间：2026-01-08 14:50   |   总提交：4   |   成功率：75.0%</t>
        </is>
      </c>
    </row>
    <row r="5">
      <c r="B5" s="3" t="n">
        <v>4</v>
      </c>
      <c r="C5" s="4" t="n"/>
      <c r="E5" s="3" t="inlineStr">
        <is>
          <t>3 / 1</t>
        </is>
      </c>
      <c r="F5" s="4" t="n"/>
      <c r="H5" s="3" t="n">
        <v>61.6</v>
      </c>
      <c r="I5" s="4" t="n"/>
      <c r="J5" s="4" t="n"/>
      <c r="K5" s="4" t="n"/>
    </row>
    <row r="6">
      <c r="B6" s="4" t="n"/>
      <c r="C6" s="4" t="n"/>
      <c r="E6" s="5" t="inlineStr">
        <is>
          <t>成功率 75.0%</t>
        </is>
      </c>
      <c r="F6" s="4" t="n"/>
      <c r="H6" s="5" t="inlineStr">
        <is>
          <t>中位数 60.8</t>
        </is>
      </c>
      <c r="I6" s="4" t="n"/>
      <c r="J6" s="4" t="n"/>
      <c r="K6" s="4" t="n"/>
    </row>
    <row r="7">
      <c r="B7" s="4" t="n"/>
      <c r="C7" s="4" t="n"/>
      <c r="E7" s="4" t="n"/>
      <c r="F7" s="4" t="n"/>
      <c r="H7" s="4" t="n"/>
      <c r="I7" s="4" t="n"/>
      <c r="J7" s="4" t="n"/>
      <c r="K7" s="4" t="n"/>
    </row>
    <row r="9">
      <c r="B9" s="6" t="n">
        <v>79.5</v>
      </c>
      <c r="C9" s="4" t="n"/>
      <c r="E9" s="6" t="inlineStr">
        <is>
          <t>44.5 / 79.5</t>
        </is>
      </c>
      <c r="F9" s="4" t="n"/>
      <c r="H9" s="7" t="n">
        <v>0</v>
      </c>
      <c r="I9" s="4" t="n"/>
      <c r="J9" s="4" t="n"/>
      <c r="K9" s="4" t="n"/>
    </row>
    <row r="10">
      <c r="B10" s="4" t="n"/>
      <c r="C10" s="4" t="n"/>
      <c r="E10" s="4" t="n"/>
      <c r="F10" s="4" t="n"/>
      <c r="H10" s="5" t="inlineStr">
        <is>
          <t>主模型 0 | 副模型 0</t>
        </is>
      </c>
      <c r="I10" s="4" t="n"/>
      <c r="J10" s="4" t="n"/>
      <c r="K10" s="4" t="n"/>
    </row>
    <row r="12">
      <c r="B12" s="8" t="inlineStr">
        <is>
          <t>状态分布</t>
        </is>
      </c>
      <c r="E12" s="8" t="inlineStr">
        <is>
          <t>分数分布</t>
        </is>
      </c>
      <c r="H12" s="8" t="inlineStr">
        <is>
          <t>维度均分</t>
        </is>
      </c>
    </row>
    <row r="27">
      <c r="B27" s="8" t="inlineStr">
        <is>
          <t>低分 Top10</t>
        </is>
      </c>
    </row>
    <row r="28">
      <c r="B28" s="9" t="inlineStr">
        <is>
          <t>文件名</t>
        </is>
      </c>
      <c r="C28" s="9" t="inlineStr">
        <is>
          <t>学号</t>
        </is>
      </c>
      <c r="D28" s="9" t="inlineStr">
        <is>
          <t>姓名</t>
        </is>
      </c>
      <c r="E28" s="9" t="inlineStr">
        <is>
          <t>最终分</t>
        </is>
      </c>
    </row>
    <row r="29">
      <c r="B29" s="10" t="inlineStr">
        <is>
          <t>4-物联网工程1班202502210088梁梓恒专业分析报告.docx</t>
        </is>
      </c>
      <c r="C29" s="10" t="inlineStr">
        <is>
          <t>202502210088</t>
        </is>
      </c>
      <c r="D29" s="10" t="inlineStr">
        <is>
          <t>物联网工程</t>
        </is>
      </c>
      <c r="E29" s="10" t="n">
        <v>44.5</v>
      </c>
    </row>
    <row r="30">
      <c r="B30" s="10" t="inlineStr">
        <is>
          <t>2-25物联网工程1班 汤智健 202502210147 专业分析报告.docx</t>
        </is>
      </c>
      <c r="C30" s="10" t="inlineStr">
        <is>
          <t>202502210147</t>
        </is>
      </c>
      <c r="D30" s="10" t="inlineStr">
        <is>
          <t>汤智健</t>
        </is>
      </c>
      <c r="E30" s="10" t="n">
        <v>60.75</v>
      </c>
    </row>
    <row r="31">
      <c r="B31" s="10" t="inlineStr">
        <is>
          <t>1-25物联网工程1班李靖镖202502210167专业分析报告.docx</t>
        </is>
      </c>
      <c r="C31" s="10" t="inlineStr">
        <is>
          <t>202502210167</t>
        </is>
      </c>
      <c r="D31" s="10" t="inlineStr">
        <is>
          <t>李靖镖</t>
        </is>
      </c>
      <c r="E31" s="10" t="n">
        <v>79.5</v>
      </c>
    </row>
    <row r="32">
      <c r="B32" s="10" t="n"/>
      <c r="C32" s="10" t="n"/>
      <c r="D32" s="10" t="n"/>
      <c r="E32" s="10" t="n"/>
    </row>
    <row r="33">
      <c r="B33" s="10" t="n"/>
      <c r="C33" s="10" t="n"/>
      <c r="D33" s="10" t="n"/>
      <c r="E33" s="10" t="n"/>
    </row>
    <row r="34">
      <c r="B34" s="10" t="n"/>
      <c r="C34" s="10" t="n"/>
      <c r="D34" s="10" t="n"/>
      <c r="E34" s="10" t="n"/>
    </row>
    <row r="35">
      <c r="B35" s="10" t="n"/>
      <c r="C35" s="10" t="n"/>
      <c r="D35" s="10" t="n"/>
      <c r="E35" s="10" t="n"/>
    </row>
    <row r="36">
      <c r="B36" s="10" t="n"/>
      <c r="C36" s="10" t="n"/>
      <c r="D36" s="10" t="n"/>
      <c r="E36" s="10" t="n"/>
    </row>
    <row r="37">
      <c r="B37" s="10" t="n"/>
      <c r="C37" s="10" t="n"/>
      <c r="D37" s="10" t="n"/>
      <c r="E37" s="10" t="n"/>
    </row>
    <row r="38">
      <c r="B38" s="10" t="n"/>
      <c r="C38" s="10" t="n"/>
      <c r="D38" s="10" t="n"/>
      <c r="E38" s="10" t="n"/>
    </row>
  </sheetData>
  <mergeCells count="17">
    <mergeCell ref="B6:C6"/>
    <mergeCell ref="E6:F6"/>
    <mergeCell ref="B7:C7"/>
    <mergeCell ref="H9:K9"/>
    <mergeCell ref="E7:F7"/>
    <mergeCell ref="E10:F10"/>
    <mergeCell ref="B5:C5"/>
    <mergeCell ref="A1:L1"/>
    <mergeCell ref="B10:C10"/>
    <mergeCell ref="E5:F5"/>
    <mergeCell ref="H6:K6"/>
    <mergeCell ref="H7:K7"/>
    <mergeCell ref="B9:C9"/>
    <mergeCell ref="A3:L3"/>
    <mergeCell ref="E9:F9"/>
    <mergeCell ref="H10:K10"/>
    <mergeCell ref="H5:K5"/>
  </mergeCells>
  <conditionalFormatting sqref="B29:E38">
    <cfRule type="expression" priority="1" dxfId="0">
      <formula>MOD(ROW(),2)=0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zoomScale="100" workbookViewId="0">
      <selection activeCell="A1" sqref="A1"/>
    </sheetView>
  </sheetViews>
  <sheetFormatPr baseColWidth="8" defaultRowHeight="15"/>
  <sheetData>
    <row r="1">
      <c r="A1" s="11" t="inlineStr">
        <is>
          <t>状态</t>
        </is>
      </c>
      <c r="B1" s="11" t="inlineStr">
        <is>
          <t>数量</t>
        </is>
      </c>
      <c r="D1" s="11" t="inlineStr">
        <is>
          <t>维度</t>
        </is>
      </c>
      <c r="E1" s="11" t="inlineStr">
        <is>
          <t>均分</t>
        </is>
      </c>
    </row>
    <row r="2">
      <c r="A2" t="inlineStr">
        <is>
          <t>成功</t>
        </is>
      </c>
      <c r="B2" t="n">
        <v>3</v>
      </c>
      <c r="D2" t="inlineStr">
        <is>
          <t>AI影响评估</t>
        </is>
      </c>
      <c r="E2" t="n">
        <v>26.9</v>
      </c>
    </row>
    <row r="3">
      <c r="A3" t="inlineStr">
        <is>
          <t>失败</t>
        </is>
      </c>
      <c r="B3" t="n">
        <v>1</v>
      </c>
      <c r="D3" t="inlineStr">
        <is>
          <t>行业发展分析</t>
        </is>
      </c>
      <c r="E3" t="n">
        <v>23.3</v>
      </c>
    </row>
    <row r="4">
      <c r="D4" t="inlineStr">
        <is>
          <t>职业规划与认知</t>
        </is>
      </c>
      <c r="E4" t="n">
        <v>17.2</v>
      </c>
    </row>
    <row r="5">
      <c r="A5" s="11" t="inlineStr">
        <is>
          <t>分数段</t>
        </is>
      </c>
      <c r="B5" s="11" t="inlineStr">
        <is>
          <t>人数</t>
        </is>
      </c>
      <c r="D5" t="inlineStr">
        <is>
          <t>报告基础要求</t>
        </is>
      </c>
      <c r="E5" t="n">
        <v>13.8</v>
      </c>
    </row>
    <row r="6">
      <c r="A6" t="inlineStr">
        <is>
          <t>00-09</t>
        </is>
      </c>
      <c r="B6" t="n">
        <v>0</v>
      </c>
      <c r="D6" t="inlineStr">
        <is>
          <t>AI使用合规与原创性（AI率扣分）</t>
        </is>
      </c>
      <c r="E6" t="n">
        <v>-19.7</v>
      </c>
    </row>
    <row r="7">
      <c r="A7" t="inlineStr">
        <is>
          <t>10-19</t>
        </is>
      </c>
      <c r="B7" t="n">
        <v>0</v>
      </c>
      <c r="D7" t="inlineStr"/>
      <c r="E7" t="inlineStr"/>
    </row>
    <row r="8">
      <c r="A8" t="inlineStr">
        <is>
          <t>20-29</t>
        </is>
      </c>
      <c r="B8" t="n">
        <v>0</v>
      </c>
      <c r="D8" t="inlineStr"/>
      <c r="E8" t="inlineStr"/>
    </row>
    <row r="9">
      <c r="A9" t="inlineStr">
        <is>
          <t>30-39</t>
        </is>
      </c>
      <c r="B9" t="n">
        <v>0</v>
      </c>
      <c r="D9" t="inlineStr"/>
      <c r="E9" t="inlineStr"/>
    </row>
    <row r="10">
      <c r="A10" t="inlineStr">
        <is>
          <t>40-49</t>
        </is>
      </c>
      <c r="B10" t="n">
        <v>1</v>
      </c>
      <c r="D10" t="inlineStr"/>
      <c r="E10" t="inlineStr"/>
    </row>
    <row r="11">
      <c r="A11" t="inlineStr">
        <is>
          <t>50-59</t>
        </is>
      </c>
      <c r="B11" t="n">
        <v>0</v>
      </c>
      <c r="D11" t="inlineStr"/>
      <c r="E11" t="inlineStr"/>
    </row>
    <row r="12">
      <c r="A12" t="inlineStr">
        <is>
          <t>60-69</t>
        </is>
      </c>
      <c r="B12" t="n">
        <v>1</v>
      </c>
      <c r="D12" t="inlineStr"/>
      <c r="E12" t="inlineStr"/>
    </row>
    <row r="13">
      <c r="A13" t="inlineStr">
        <is>
          <t>70-79</t>
        </is>
      </c>
      <c r="B13" t="n">
        <v>1</v>
      </c>
      <c r="D13" t="inlineStr"/>
      <c r="E13" t="inlineStr"/>
    </row>
    <row r="14">
      <c r="A14" t="inlineStr">
        <is>
          <t>80-89</t>
        </is>
      </c>
      <c r="B14" t="n">
        <v>0</v>
      </c>
      <c r="D14" t="inlineStr"/>
      <c r="E14" t="inlineStr"/>
    </row>
    <row r="15">
      <c r="A15" t="inlineStr">
        <is>
          <t>90-99</t>
        </is>
      </c>
      <c r="B15" t="n">
        <v>0</v>
      </c>
      <c r="D15" t="inlineStr"/>
      <c r="E15" t="inlineStr"/>
    </row>
    <row r="16">
      <c r="D16" t="inlineStr"/>
      <c r="E16" t="inlineStr"/>
    </row>
    <row r="17">
      <c r="D17" t="inlineStr"/>
      <c r="E17" t="inlineStr"/>
    </row>
    <row r="18">
      <c r="D18" t="inlineStr"/>
      <c r="E18" t="inlineStr"/>
    </row>
    <row r="19">
      <c r="D19" t="inlineStr"/>
      <c r="E19" t="inlineStr"/>
    </row>
  </sheetData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4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.4" customWidth="1" min="7" max="7"/>
    <col width="10" customWidth="1" min="8" max="8"/>
    <col width="44" customWidth="1" min="9" max="9"/>
    <col width="10" customWidth="1" min="10" max="10"/>
  </cols>
  <sheetData>
    <row r="1" ht="24" customHeight="1">
      <c r="A1" s="12" t="inlineStr">
        <is>
          <t>学号</t>
        </is>
      </c>
      <c r="B1" s="12" t="inlineStr">
        <is>
          <t>姓名</t>
        </is>
      </c>
      <c r="C1" s="12" t="inlineStr">
        <is>
          <t>当前分数</t>
        </is>
      </c>
      <c r="D1" s="12" t="inlineStr">
        <is>
          <t>AI使用合规与原创性（AI率扣分）</t>
        </is>
      </c>
      <c r="E1" s="12" t="inlineStr">
        <is>
          <t>AI影响评估</t>
        </is>
      </c>
      <c r="F1" s="12" t="inlineStr">
        <is>
          <t>报告基础要求</t>
        </is>
      </c>
      <c r="G1" s="12" t="inlineStr">
        <is>
          <t>职业规划与认知</t>
        </is>
      </c>
      <c r="H1" s="12" t="inlineStr">
        <is>
          <t>行业发展分析</t>
        </is>
      </c>
      <c r="I1" s="12" t="inlineStr">
        <is>
          <t>总体评语</t>
        </is>
      </c>
      <c r="J1" s="12" t="inlineStr">
        <is>
          <t>目标总分</t>
        </is>
      </c>
    </row>
    <row r="2">
      <c r="A2" s="13" t="inlineStr">
        <is>
          <t>202502210088</t>
        </is>
      </c>
      <c r="B2" s="13" t="inlineStr">
        <is>
          <t>物联网工程</t>
        </is>
      </c>
      <c r="C2" s="14" t="n">
        <v>44.5</v>
      </c>
      <c r="D2" s="14" t="n">
        <v>-22</v>
      </c>
      <c r="E2" s="14" t="n">
        <v>24.5</v>
      </c>
      <c r="F2" s="14" t="n">
        <v>7</v>
      </c>
      <c r="G2" s="14" t="n">
        <v>15</v>
      </c>
      <c r="H2" s="14" t="n">
        <v>20</v>
      </c>
      <c r="I2" s="10" t="inlineStr">
        <is>
          <t>本次作业在报告结构和逻辑清晰度方面表现尚可，对物联网行业的分析有一定深度，并能结合AI影响进行个人职业规划，体现了对专业领域的初步思考。然而，作业存在明显不足：内容严重不完整，关键部分缺失，字数远未达到要求；同时，文本中AI生成痕迹显著，引用可信度存疑，影响了报告的原创性与严谨性。建议今后务必确保作业的完整性，严格按照要求扩充内容、填补缺失部分；并加强独立研究与写作训练，避免直接依赖AI生成，注重引用来源的核实与规范标注，以提升学术诚信与分析质量。</t>
        </is>
      </c>
      <c r="J2" s="14" t="n">
        <v>100</v>
      </c>
    </row>
    <row r="3">
      <c r="A3" s="13" t="inlineStr">
        <is>
          <t>202502210147</t>
        </is>
      </c>
      <c r="B3" s="13" t="inlineStr">
        <is>
          <t>汤智健</t>
        </is>
      </c>
      <c r="C3" s="14" t="n">
        <v>60.75</v>
      </c>
      <c r="D3" s="14" t="n">
        <v>-26.5</v>
      </c>
      <c r="E3" s="14" t="n">
        <v>28.25</v>
      </c>
      <c r="F3" s="14" t="n">
        <v>15.75</v>
      </c>
      <c r="G3" s="14" t="n">
        <v>18.25</v>
      </c>
      <c r="H3" s="14" t="n">
        <v>25</v>
      </c>
      <c r="I3" s="10" t="inlineStr">
        <is>
          <t>本次作业在报告结构与内容完整性方面表现良好，对物联网行业及AI影响的分析较为全面深入，职业规划部分也较为具体，体现了你对专业领域的认知与思考。然而，作业中存在明显的AI生成痕迹，部分数据引用不够严谨，个人化的思考与加工明显不足，这使得报告的原创性与深度受到限制。建议你在后续作业中，加强对一手资料的收集与批判性分析，在引用数据时务必注明可靠来源，并更多地融入自己的独立见解与逻辑推演，以减少对生成式工具的依赖，提升学术表达的原创性与严谨性。</t>
        </is>
      </c>
      <c r="J3" s="14" t="n">
        <v>100</v>
      </c>
    </row>
    <row r="4">
      <c r="A4" s="13" t="inlineStr">
        <is>
          <t>202502210167</t>
        </is>
      </c>
      <c r="B4" s="13" t="inlineStr">
        <is>
          <t>李靖镖</t>
        </is>
      </c>
      <c r="C4" s="14" t="n">
        <v>79.5</v>
      </c>
      <c r="D4" s="14" t="n">
        <v>-10.5</v>
      </c>
      <c r="E4" s="14" t="n">
        <v>28</v>
      </c>
      <c r="F4" s="14" t="n">
        <v>18.5</v>
      </c>
      <c r="G4" s="14" t="n">
        <v>18.5</v>
      </c>
      <c r="H4" s="14" t="n">
        <v>25</v>
      </c>
      <c r="I4" s="10" t="inlineStr">
        <is>
          <t>本次作业报告展现了良好的专业素养，结构完整、逻辑清晰，对物联网行业的发展现状与趋势进行了较为全面的梳理，并深入分析了AI技术的影响，个人职业规划部分也较为详实。数据引用丰富，体现了较好的信息搜集与分析能力。不足之处在于部分数据来源描述不够具体，影响了论证的可信度；此外，报告语言存在一定的AI生成痕迹，节奏较为均匀，缺乏个人化的表达与批判性思考。建议未来在引用数据时务必注明具体出处，增强论证的严谨性；同时，在分析部分应更多地融入自己的独立见解与反思，使报告更具个人特色和深度。</t>
        </is>
      </c>
      <c r="J4" s="14" t="n">
        <v>100</v>
      </c>
    </row>
    <row r="5">
      <c r="A5" s="13" t="inlineStr"/>
      <c r="B5" s="13" t="inlineStr"/>
      <c r="C5" s="13" t="n"/>
      <c r="D5" s="13" t="n"/>
      <c r="E5" s="13" t="n"/>
      <c r="F5" s="13" t="n"/>
      <c r="G5" s="13" t="n"/>
      <c r="H5" s="13" t="n"/>
      <c r="I5" s="10" t="inlineStr"/>
      <c r="J5" s="14" t="n">
        <v>60</v>
      </c>
    </row>
  </sheetData>
  <conditionalFormatting sqref="A2:J5">
    <cfRule type="expression" priority="1" dxfId="0">
      <formula>MOD(ROW(),2)=0</formula>
    </cfRule>
  </conditionalFormatting>
  <conditionalFormatting sqref="C2:C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5">
    <cfRule type="expression" priority="3" dxfId="1">
      <formula>TRUE</formula>
    </cfRule>
  </conditionalFormatting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.4" customWidth="1" min="4" max="4"/>
    <col width="30" customWidth="1" min="5" max="5"/>
    <col width="10" customWidth="1" min="6" max="6"/>
    <col width="10" customWidth="1" min="7" max="7"/>
    <col width="35.6" customWidth="1" min="8" max="8"/>
    <col width="40" customWidth="1" min="9" max="9"/>
    <col width="40" customWidth="1" min="10" max="10"/>
    <col width="10" customWidth="1" min="11" max="11"/>
    <col width="10" customWidth="1" min="12" max="12"/>
    <col width="38" customWidth="1" min="13" max="13"/>
  </cols>
  <sheetData>
    <row r="1" ht="24" customHeight="1">
      <c r="A1" s="12" t="inlineStr">
        <is>
          <t>状态</t>
        </is>
      </c>
      <c r="B1" s="12" t="inlineStr">
        <is>
          <t>最终分</t>
        </is>
      </c>
      <c r="C1" s="12" t="inlineStr">
        <is>
          <t>姓名</t>
        </is>
      </c>
      <c r="D1" s="12" t="inlineStr">
        <is>
          <t>学号</t>
        </is>
      </c>
      <c r="E1" s="12" t="inlineStr">
        <is>
          <t>文件名</t>
        </is>
      </c>
      <c r="F1" s="12" t="inlineStr">
        <is>
          <t>成功模型数</t>
        </is>
      </c>
      <c r="G1" s="12" t="inlineStr">
        <is>
          <t>失败模型数</t>
        </is>
      </c>
      <c r="H1" s="12" t="inlineStr">
        <is>
          <t>模型通过率</t>
        </is>
      </c>
      <c r="I1" s="12" t="inlineStr">
        <is>
          <t>总体评语</t>
        </is>
      </c>
      <c r="J1" s="12" t="inlineStr">
        <is>
          <t>错误描述</t>
        </is>
      </c>
      <c r="K1" s="12" t="inlineStr">
        <is>
          <t>聚合算法</t>
        </is>
      </c>
      <c r="L1" s="12" t="inlineStr">
        <is>
          <t>查看模型</t>
        </is>
      </c>
      <c r="M1" s="12" t="inlineStr">
        <is>
          <t>查看细则</t>
        </is>
      </c>
    </row>
    <row r="2">
      <c r="A2" s="13" t="inlineStr">
        <is>
          <t>失败</t>
        </is>
      </c>
      <c r="B2" s="13" t="n"/>
      <c r="C2" s="13" t="n"/>
      <c r="D2" s="13" t="n"/>
      <c r="E2" s="10" t="inlineStr">
        <is>
          <t>3-张奕灏202502210115职业发展导论.docx</t>
        </is>
      </c>
      <c r="F2" s="13" t="n">
        <v>0</v>
      </c>
      <c r="G2" s="13" t="n">
        <v>0</v>
      </c>
      <c r="H2" s="15">
        <f>IF((F2+G2)=0,"",F2/(F2+G2))</f>
        <v/>
      </c>
      <c r="I2" s="10" t="n"/>
      <c r="J2" s="10" t="inlineStr">
        <is>
          <t>作业文件名未匹配到任何分类关键字，请检查文件名是否包含分类列表名称。</t>
        </is>
      </c>
      <c r="K2" s="13" t="inlineStr">
        <is>
          <t>mean</t>
        </is>
      </c>
      <c r="L2" s="13" t="n"/>
      <c r="M2" s="13" t="n"/>
    </row>
    <row r="3">
      <c r="A3" s="13" t="inlineStr">
        <is>
          <t>成功</t>
        </is>
      </c>
      <c r="B3" s="14" t="n">
        <v>79.5</v>
      </c>
      <c r="C3" s="13" t="inlineStr">
        <is>
          <t>李靖镖</t>
        </is>
      </c>
      <c r="D3" s="13" t="inlineStr">
        <is>
          <t>202502210167</t>
        </is>
      </c>
      <c r="E3" s="10" t="inlineStr">
        <is>
          <t>1-25物联网工程1班李靖镖202502210167专业分析报告.docx</t>
        </is>
      </c>
      <c r="F3" s="13" t="n">
        <v>2</v>
      </c>
      <c r="G3" s="13" t="n">
        <v>0</v>
      </c>
      <c r="H3" s="15">
        <f>IF((F3+G3)=0,"",F3/(F3+G3))</f>
        <v/>
      </c>
      <c r="I3" s="10" t="inlineStr">
        <is>
          <t>本次作业报告展现了良好的专业素养，结构完整、逻辑清晰，对物联网行业的发展现状与趋势进行了较为全面的梳理，并深入分析了AI技术的影响，个人职业规划部分也较为详实。数据引用丰富，体现了较好的信息搜集与分析能力。不足之处在于部分数据来源描述不够具体，影响了论证的可信度；此外，报告语言存在一定的AI生成痕迹，节奏较为均匀，缺乏个人化的表达与批判性思考。建议未来在引用数据时务必注明具体出处，增强论证的严谨性；同时，在分析部分应更多地融入自己的独立见解与反思，使报告更具个人特色和深度。</t>
        </is>
      </c>
      <c r="J3" s="10" t="n"/>
      <c r="K3" s="13" t="inlineStr">
        <is>
          <t>mean</t>
        </is>
      </c>
      <c r="L3" s="13" t="n"/>
      <c r="M3" s="16">
        <f>HYPERLINK("#'细则明细'!A2","查看")</f>
        <v/>
      </c>
    </row>
    <row r="4">
      <c r="A4" s="13" t="inlineStr">
        <is>
          <t>成功</t>
        </is>
      </c>
      <c r="B4" s="14" t="n">
        <v>60.75</v>
      </c>
      <c r="C4" s="13" t="inlineStr">
        <is>
          <t>汤智健</t>
        </is>
      </c>
      <c r="D4" s="13" t="inlineStr">
        <is>
          <t>202502210147</t>
        </is>
      </c>
      <c r="E4" s="10" t="inlineStr">
        <is>
          <t>2-25物联网工程1班 汤智健 202502210147 专业分析报告.docx</t>
        </is>
      </c>
      <c r="F4" s="13" t="n">
        <v>2</v>
      </c>
      <c r="G4" s="13" t="n">
        <v>0</v>
      </c>
      <c r="H4" s="15">
        <f>IF((F4+G4)=0,"",F4/(F4+G4))</f>
        <v/>
      </c>
      <c r="I4" s="10" t="inlineStr">
        <is>
          <t>本次作业在报告结构与内容完整性方面表现良好，对物联网行业及AI影响的分析较为全面深入，职业规划部分也较为具体，体现了你对专业领域的认知与思考。然而，作业中存在明显的AI生成痕迹，部分数据引用不够严谨，个人化的思考与加工明显不足，这使得报告的原创性与深度受到限制。建议你在后续作业中，加强对一手资料的收集与批判性分析，在引用数据时务必注明可靠来源，并更多地融入自己的独立见解与逻辑推演，以减少对生成式工具的依赖，提升学术表达的原创性与严谨性。</t>
        </is>
      </c>
      <c r="J4" s="10" t="n"/>
      <c r="K4" s="13" t="inlineStr">
        <is>
          <t>mean</t>
        </is>
      </c>
      <c r="L4" s="13" t="n"/>
      <c r="M4" s="16">
        <f>HYPERLINK("#'细则明细'!A14","查看")</f>
        <v/>
      </c>
    </row>
    <row r="5">
      <c r="A5" s="13" t="inlineStr">
        <is>
          <t>成功</t>
        </is>
      </c>
      <c r="B5" s="14" t="n">
        <v>44.5</v>
      </c>
      <c r="C5" s="13" t="inlineStr">
        <is>
          <t>物联网工程</t>
        </is>
      </c>
      <c r="D5" s="13" t="inlineStr">
        <is>
          <t>202502210088</t>
        </is>
      </c>
      <c r="E5" s="10" t="inlineStr">
        <is>
          <t>4-物联网工程1班202502210088梁梓恒专业分析报告.docx</t>
        </is>
      </c>
      <c r="F5" s="13" t="n">
        <v>2</v>
      </c>
      <c r="G5" s="13" t="n">
        <v>0</v>
      </c>
      <c r="H5" s="15">
        <f>IF((F5+G5)=0,"",F5/(F5+G5))</f>
        <v/>
      </c>
      <c r="I5" s="10" t="inlineStr">
        <is>
          <t>本次作业在报告结构和逻辑清晰度方面表现尚可，对物联网行业的分析有一定深度，并能结合AI影响进行个人职业规划，体现了对专业领域的初步思考。然而，作业存在明显不足：内容严重不完整，关键部分缺失，字数远未达到要求；同时，文本中AI生成痕迹显著，引用可信度存疑，影响了报告的原创性与严谨性。建议今后务必确保作业的完整性，严格按照要求扩充内容、填补缺失部分；并加强独立研究与写作训练，避免直接依赖AI生成，注重引用来源的核实与规范标注，以提升学术诚信与分析质量。</t>
        </is>
      </c>
      <c r="J5" s="10" t="n"/>
      <c r="K5" s="13" t="inlineStr">
        <is>
          <t>mean</t>
        </is>
      </c>
      <c r="L5" s="13" t="n"/>
      <c r="M5" s="16">
        <f>HYPERLINK("#'细则明细'!A26","查看")</f>
        <v/>
      </c>
    </row>
  </sheetData>
  <conditionalFormatting sqref="A2:M5">
    <cfRule type="expression" priority="1" dxfId="0">
      <formula>MOD(ROW(),2)=0</formula>
    </cfRule>
  </conditionalFormatting>
  <conditionalFormatting sqref="A2:A5">
    <cfRule type="expression" priority="2" dxfId="1">
      <formula>EXACT($A2,"成功")</formula>
    </cfRule>
    <cfRule type="expression" priority="3" dxfId="2">
      <formula>EXACT($A2,"失败")</formula>
    </cfRule>
  </conditionalFormatting>
  <conditionalFormatting sqref="B2:B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  <cfRule type="expression" priority="8" dxfId="3">
      <formula>TRUE</formula>
    </cfRule>
  </conditionalFormatting>
  <conditionalFormatting sqref="E2:E5">
    <cfRule type="expression" priority="5" dxfId="4">
      <formula>TRUE</formula>
    </cfRule>
  </conditionalFormatting>
  <conditionalFormatting sqref="I2:I5">
    <cfRule type="expression" priority="6" dxfId="1">
      <formula>TRUE</formula>
    </cfRule>
  </conditionalFormatting>
  <conditionalFormatting sqref="J2:J5">
    <cfRule type="expression" priority="7" dxfId="1">
      <formula>TRUE</formula>
    </cfRule>
  </conditionalFormatting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5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4" customWidth="1" min="1" max="1"/>
    <col width="10" customWidth="1" min="2" max="2"/>
    <col width="30" customWidth="1" min="3" max="3"/>
    <col width="10" customWidth="1" min="4" max="4"/>
    <col width="10" customWidth="1" min="5" max="5"/>
    <col width="14" customWidth="1" min="6" max="6"/>
    <col width="40" customWidth="1" min="7" max="7"/>
    <col width="10.4" customWidth="1" min="8" max="8"/>
    <col width="10.4" customWidth="1" min="9" max="9"/>
    <col width="15.2" customWidth="1" min="10" max="10"/>
    <col width="40" customWidth="1" min="11" max="11"/>
    <col width="40" customWidth="1" min="12" max="12"/>
  </cols>
  <sheetData>
    <row r="1" ht="24" customHeight="1">
      <c r="A1" s="12" t="inlineStr">
        <is>
          <t>学号</t>
        </is>
      </c>
      <c r="B1" s="12" t="inlineStr">
        <is>
          <t>姓名</t>
        </is>
      </c>
      <c r="C1" s="12" t="inlineStr">
        <is>
          <t>文件名</t>
        </is>
      </c>
      <c r="D1" s="12" t="inlineStr">
        <is>
          <t>主模型-状态</t>
        </is>
      </c>
      <c r="E1" s="12" t="inlineStr">
        <is>
          <t>主模型-分数</t>
        </is>
      </c>
      <c r="F1" s="12" t="inlineStr">
        <is>
          <t>主模型-耗时(ms)</t>
        </is>
      </c>
      <c r="G1" s="12" t="inlineStr">
        <is>
          <t>主模型-评语</t>
        </is>
      </c>
      <c r="H1" s="12" t="inlineStr">
        <is>
          <t>副模型A-状态</t>
        </is>
      </c>
      <c r="I1" s="12" t="inlineStr">
        <is>
          <t>副模型A-分数</t>
        </is>
      </c>
      <c r="J1" s="12" t="inlineStr">
        <is>
          <t>副模型A-耗时(ms)</t>
        </is>
      </c>
      <c r="K1" s="12" t="inlineStr">
        <is>
          <t>副模型A-评语</t>
        </is>
      </c>
      <c r="L1" s="12" t="inlineStr">
        <is>
          <t>总体评语</t>
        </is>
      </c>
    </row>
    <row r="2" ht="60" customHeight="1">
      <c r="A2" s="13" t="n"/>
      <c r="B2" s="13" t="n"/>
      <c r="C2" s="10" t="inlineStr">
        <is>
          <t>3-张奕灏202502210115职业发展导论.docx</t>
        </is>
      </c>
      <c r="D2" s="13" t="inlineStr"/>
      <c r="E2" s="13" t="n"/>
      <c r="F2" s="13" t="n"/>
      <c r="G2" s="10" t="inlineStr">
        <is>
          <t>失败</t>
        </is>
      </c>
      <c r="H2" s="13" t="inlineStr"/>
      <c r="I2" s="13" t="n"/>
      <c r="J2" s="13" t="n"/>
      <c r="K2" s="10" t="inlineStr">
        <is>
          <t>失败</t>
        </is>
      </c>
      <c r="L2" s="10" t="n"/>
    </row>
    <row r="3" ht="60" customHeight="1">
      <c r="A3" s="13" t="inlineStr">
        <is>
          <t>202502210167</t>
        </is>
      </c>
      <c r="B3" s="13" t="inlineStr">
        <is>
          <t>李靖镖</t>
        </is>
      </c>
      <c r="C3" s="10" t="inlineStr">
        <is>
          <t>1-25物联网工程1班李靖镖202502210167专业分析报告.docx</t>
        </is>
      </c>
      <c r="D3" s="13" t="inlineStr">
        <is>
          <t>成功</t>
        </is>
      </c>
      <c r="E3" s="14" t="n">
        <v>79</v>
      </c>
      <c r="F3" s="17" t="n">
        <v>72977</v>
      </c>
      <c r="G3" s="10" t="inlineStr">
        <is>
          <t>报告结构完整，逻辑清晰，对物联网行业进行了较为全面的分析，并详细阐述了AI的影响及个人职业规划。数据引用丰富，但部分数据来源描述不够具体，存在一定的AI生成痕迹，语言节奏较为均匀。</t>
        </is>
      </c>
      <c r="H3" s="13" t="inlineStr">
        <is>
          <t>成功</t>
        </is>
      </c>
      <c r="I3" s="14" t="n">
        <v>80</v>
      </c>
      <c r="J3" s="17" t="n">
        <v>62006</v>
      </c>
      <c r="K3" s="10" t="inlineStr">
        <is>
          <t>报告结构完整，逻辑清晰，对物联网行业的发展现状、趋势及AI影响进行了较为全面的分析，并提供了详细的职业规划。数据引用丰富，但部分数据来源表述不够具体，存在少量格式残留。整体体现了较好的专业认知与分析能力。</t>
        </is>
      </c>
      <c r="L3" s="10" t="inlineStr">
        <is>
          <t>本次作业报告展现了良好的专业素养，结构完整、逻辑清晰，对物联网行业的发展现状与趋势进行了较为全面的梳理，并深入分析了AI技术的影响，个人职业规划部分也较为详实。数据引用丰富，体现了较好的信息搜集与分析能力。不足之处在于部分数据来源描述不够具体，影响了论证的可信度；此外，报告语言存在一定的AI生成痕迹，节奏较为均匀，缺乏个人化的表达与批判性思考。建议未来在引用数据时务必注明具体出处，增强论证的严谨性；同时，在分析部分应更多地融入自己的独立见解与反思，使报告更具个人特色和深度。</t>
        </is>
      </c>
    </row>
    <row r="4" ht="60" customHeight="1">
      <c r="A4" s="13" t="inlineStr">
        <is>
          <t>202502210147</t>
        </is>
      </c>
      <c r="B4" s="13" t="inlineStr">
        <is>
          <t>汤智健</t>
        </is>
      </c>
      <c r="C4" s="10" t="inlineStr">
        <is>
          <t>2-25物联网工程1班 汤智健 202502210147 专业分析报告.docx</t>
        </is>
      </c>
      <c r="D4" s="13" t="inlineStr">
        <is>
          <t>成功</t>
        </is>
      </c>
      <c r="E4" s="14" t="n">
        <v>60.5</v>
      </c>
      <c r="F4" s="17" t="n">
        <v>132768</v>
      </c>
      <c r="G4" s="10" t="inlineStr">
        <is>
          <t>报告结构完整，内容详实，对物联网行业及AI影响分析深入，职业规划具体。但存在明显的AI生成痕迹，部分数据引用不够严谨，个人化思考与加工痕迹不足，需在原创性方面加强。</t>
        </is>
      </c>
      <c r="H4" s="13" t="inlineStr">
        <is>
          <t>成功</t>
        </is>
      </c>
      <c r="I4" s="14" t="n">
        <v>61</v>
      </c>
      <c r="J4" s="17" t="n">
        <v>135487</v>
      </c>
      <c r="K4" s="10" t="inlineStr">
        <is>
          <t>报告结构完整，内容详实，对物联网行业进行了全面分析，并结合AI影响与个人职业规划，体现了较强的专业认知与思考深度。但在资料引用、个人化表达及格式规范方面存在不足，需注意改进。</t>
        </is>
      </c>
      <c r="L4" s="10" t="inlineStr">
        <is>
          <t>本次作业在报告结构与内容完整性方面表现良好，对物联网行业及AI影响的分析较为全面深入，职业规划部分也较为具体，体现了你对专业领域的认知与思考。然而，作业中存在明显的AI生成痕迹，部分数据引用不够严谨，个人化的思考与加工明显不足，这使得报告的原创性与深度受到限制。建议你在后续作业中，加强对一手资料的收集与批判性分析，在引用数据时务必注明可靠来源，并更多地融入自己的独立见解与逻辑推演，以减少对生成式工具的依赖，提升学术表达的原创性与严谨性。</t>
        </is>
      </c>
    </row>
    <row r="5" ht="60" customHeight="1">
      <c r="A5" s="13" t="inlineStr">
        <is>
          <t>202502210088</t>
        </is>
      </c>
      <c r="B5" s="13" t="inlineStr">
        <is>
          <t>物联网工程</t>
        </is>
      </c>
      <c r="C5" s="10" t="inlineStr">
        <is>
          <t>4-物联网工程1班202502210088梁梓恒专业分析报告.docx</t>
        </is>
      </c>
      <c r="D5" s="13" t="inlineStr">
        <is>
          <t>成功</t>
        </is>
      </c>
      <c r="E5" s="14" t="n">
        <v>49</v>
      </c>
      <c r="F5" s="17" t="n">
        <v>195944</v>
      </c>
      <c r="G5" s="10" t="inlineStr">
        <is>
          <t>报告结构完整，逻辑清晰，对物联网行业有较深入的分析，并结合AI影响与个人规划。但报告内容不完整，字数严重不足，且存在明显的AI生成痕迹和引用可信度问题，需在后续作业中改进。</t>
        </is>
      </c>
      <c r="H5" s="13" t="inlineStr">
        <is>
          <t>成功</t>
        </is>
      </c>
      <c r="I5" s="14" t="n">
        <v>40</v>
      </c>
      <c r="J5" s="17" t="n">
        <v>199589</v>
      </c>
      <c r="K5" s="10" t="inlineStr">
        <is>
          <t>报告结构清晰，对物联网行业有较全面的分析，并结合AI影响进行了职业规划。但报告内容不完整，缺少关键部分，且存在明显的AI生成痕迹和引用可信度问题，需在完整性和原创性上加强。</t>
        </is>
      </c>
      <c r="L5" s="10" t="inlineStr">
        <is>
          <t>本次作业在报告结构和逻辑清晰度方面表现尚可，对物联网行业的分析有一定深度，并能结合AI影响进行个人职业规划，体现了对专业领域的初步思考。然而，作业存在明显不足：内容严重不完整，关键部分缺失，字数远未达到要求；同时，文本中AI生成痕迹显著，引用可信度存疑，影响了报告的原创性与严谨性。建议今后务必确保作业的完整性，严格按照要求扩充内容、填补缺失部分；并加强独立研究与写作训练，避免直接依赖AI生成，注重引用来源的核实与规范标注，以提升学术诚信与分析质量。</t>
        </is>
      </c>
    </row>
  </sheetData>
  <conditionalFormatting sqref="A2:L5">
    <cfRule type="expression" priority="1" dxfId="0">
      <formula>MOD(ROW(),2)=0</formula>
    </cfRule>
  </conditionalFormatting>
  <conditionalFormatting sqref="D2:D5">
    <cfRule type="expression" priority="2" dxfId="1">
      <formula>EXACT($D2,"成功")</formula>
    </cfRule>
    <cfRule type="expression" priority="3" dxfId="2">
      <formula>EXACT($D2,"失败")</formula>
    </cfRule>
  </conditionalFormatting>
  <conditionalFormatting sqref="H2:H5">
    <cfRule type="expression" priority="4" dxfId="1">
      <formula>EXACT($H2,"成功")</formula>
    </cfRule>
    <cfRule type="expression" priority="5" dxfId="2">
      <formula>EXACT($H2,"失败")</formula>
    </cfRule>
  </conditionalFormatting>
  <conditionalFormatting sqref="E2:E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5">
    <cfRule type="expression" priority="8" dxfId="1">
      <formula>TRUE</formula>
    </cfRule>
  </conditionalFormatting>
  <conditionalFormatting sqref="K2:K5">
    <cfRule type="expression" priority="9" dxfId="1">
      <formula>TRUE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8" customWidth="1" min="4" max="4"/>
    <col width="10" customWidth="1" min="5" max="5"/>
    <col width="10" customWidth="1" min="6" max="6"/>
    <col width="10.4" customWidth="1" min="7" max="7"/>
    <col width="10" customWidth="1" min="8" max="8"/>
  </cols>
  <sheetData>
    <row r="1" ht="24" customHeight="1">
      <c r="A1" s="12" t="inlineStr">
        <is>
          <t>学号</t>
        </is>
      </c>
      <c r="B1" s="12" t="inlineStr">
        <is>
          <t>姓名</t>
        </is>
      </c>
      <c r="C1" s="12" t="inlineStr">
        <is>
          <t>最终分</t>
        </is>
      </c>
      <c r="D1" s="12" t="inlineStr">
        <is>
          <t>AI使用合规与原创性（AI率扣分）</t>
        </is>
      </c>
      <c r="E1" s="12" t="inlineStr">
        <is>
          <t>AI影响评估</t>
        </is>
      </c>
      <c r="F1" s="12" t="inlineStr">
        <is>
          <t>报告基础要求</t>
        </is>
      </c>
      <c r="G1" s="12" t="inlineStr">
        <is>
          <t>职业规划与认知</t>
        </is>
      </c>
      <c r="H1" s="12" t="inlineStr">
        <is>
          <t>行业发展分析</t>
        </is>
      </c>
    </row>
    <row r="2">
      <c r="A2" s="13" t="n"/>
      <c r="B2" s="13" t="n"/>
      <c r="C2" s="13" t="n"/>
      <c r="D2" s="13" t="n"/>
      <c r="E2" s="13" t="n"/>
      <c r="F2" s="13" t="n"/>
      <c r="G2" s="13" t="n"/>
      <c r="H2" s="13" t="n"/>
    </row>
    <row r="3">
      <c r="A3" s="13" t="inlineStr">
        <is>
          <t>202502210167</t>
        </is>
      </c>
      <c r="B3" s="13" t="inlineStr">
        <is>
          <t>李靖镖</t>
        </is>
      </c>
      <c r="C3" s="14" t="n">
        <v>79.5</v>
      </c>
      <c r="D3" s="14" t="n">
        <v>-10.5</v>
      </c>
      <c r="E3" s="14" t="n">
        <v>28</v>
      </c>
      <c r="F3" s="14" t="n">
        <v>18.5</v>
      </c>
      <c r="G3" s="14" t="n">
        <v>18.5</v>
      </c>
      <c r="H3" s="14" t="n">
        <v>25</v>
      </c>
    </row>
    <row r="4">
      <c r="A4" s="13" t="inlineStr">
        <is>
          <t>202502210147</t>
        </is>
      </c>
      <c r="B4" s="13" t="inlineStr">
        <is>
          <t>汤智健</t>
        </is>
      </c>
      <c r="C4" s="14" t="n">
        <v>60.75</v>
      </c>
      <c r="D4" s="14" t="n">
        <v>-26.5</v>
      </c>
      <c r="E4" s="14" t="n">
        <v>28.25</v>
      </c>
      <c r="F4" s="14" t="n">
        <v>15.75</v>
      </c>
      <c r="G4" s="14" t="n">
        <v>18.25</v>
      </c>
      <c r="H4" s="14" t="n">
        <v>25</v>
      </c>
    </row>
    <row r="5">
      <c r="A5" s="13" t="inlineStr">
        <is>
          <t>202502210088</t>
        </is>
      </c>
      <c r="B5" s="13" t="inlineStr">
        <is>
          <t>物联网工程</t>
        </is>
      </c>
      <c r="C5" s="14" t="n">
        <v>44.5</v>
      </c>
      <c r="D5" s="14" t="n">
        <v>-22</v>
      </c>
      <c r="E5" s="14" t="n">
        <v>24.5</v>
      </c>
      <c r="F5" s="14" t="n">
        <v>7</v>
      </c>
      <c r="G5" s="14" t="n">
        <v>15</v>
      </c>
      <c r="H5" s="14" t="n">
        <v>20</v>
      </c>
    </row>
  </sheetData>
  <conditionalFormatting sqref="A2:H5">
    <cfRule type="expression" priority="1" dxfId="0">
      <formula>MOD(ROW(),2)=0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4" customWidth="1" min="1" max="1"/>
    <col width="10" customWidth="1" min="2" max="2"/>
    <col width="22.4" customWidth="1" min="3" max="3"/>
    <col width="16.4" customWidth="1" min="4" max="4"/>
    <col width="10" customWidth="1" min="5" max="5"/>
    <col width="10" customWidth="1" min="6" max="6"/>
    <col width="10" customWidth="1" min="7" max="7"/>
    <col width="40" customWidth="1" min="8" max="8"/>
    <col width="30" customWidth="1" min="9" max="9"/>
  </cols>
  <sheetData>
    <row r="1" ht="24" customHeight="1">
      <c r="A1" s="12" t="inlineStr">
        <is>
          <t>学号</t>
        </is>
      </c>
      <c r="B1" s="12" t="inlineStr">
        <is>
          <t>姓名</t>
        </is>
      </c>
      <c r="C1" s="12" t="inlineStr">
        <is>
          <t>维度</t>
        </is>
      </c>
      <c r="D1" s="12" t="inlineStr">
        <is>
          <t>细则项</t>
        </is>
      </c>
      <c r="E1" s="12" t="inlineStr">
        <is>
          <t>该项总分</t>
        </is>
      </c>
      <c r="F1" s="12" t="inlineStr">
        <is>
          <t>得分</t>
        </is>
      </c>
      <c r="G1" s="12" t="inlineStr">
        <is>
          <t>扣分</t>
        </is>
      </c>
      <c r="H1" s="12" t="inlineStr">
        <is>
          <t>原因说明</t>
        </is>
      </c>
      <c r="I1" s="12" t="inlineStr">
        <is>
          <t>改进建议</t>
        </is>
      </c>
    </row>
    <row r="2">
      <c r="A2" s="13" t="inlineStr">
        <is>
          <t>202502210167</t>
        </is>
      </c>
      <c r="B2" s="13" t="inlineStr">
        <is>
          <t>李靖镖</t>
        </is>
      </c>
      <c r="C2" s="13" t="inlineStr">
        <is>
          <t>行业发展分析</t>
        </is>
      </c>
      <c r="D2" s="10" t="inlineStr">
        <is>
          <t>分析广度与深度</t>
        </is>
      </c>
      <c r="E2" s="14" t="n">
        <v>15</v>
      </c>
      <c r="F2" s="14" t="n">
        <v>13</v>
      </c>
      <c r="G2" s="14" t="n">
        <v>2</v>
      </c>
      <c r="H2" s="10" t="inlineStr">
        <is>
          <t>报告从专业认知、发展现状、趋势等多个维度进行了较为深入的分析，并引用了较多数据和案例，逻辑清晰。但未来趋势部分的分析深度可进一步加强，例如对‘绿色低碳’等方向的阐述略显简略。扣2分。</t>
        </is>
      </c>
      <c r="I2" s="10" t="inlineStr"/>
    </row>
    <row r="3">
      <c r="A3" s="13" t="inlineStr">
        <is>
          <t>202502210167</t>
        </is>
      </c>
      <c r="B3" s="13" t="inlineStr">
        <is>
          <t>李靖镖</t>
        </is>
      </c>
      <c r="C3" s="13" t="inlineStr">
        <is>
          <t>行业发展分析</t>
        </is>
      </c>
      <c r="D3" s="10" t="inlineStr">
        <is>
          <t>资料与洞察</t>
        </is>
      </c>
      <c r="E3" s="14" t="n">
        <v>15</v>
      </c>
      <c r="F3" s="14" t="n">
        <v>12</v>
      </c>
      <c r="G3" s="14" t="n">
        <v>3</v>
      </c>
      <c r="H3" s="10" t="inlineStr">
        <is>
          <t>引用了大量行业数据、政策文件和案例，信息较为丰富。但多数数据以‘据显示’、‘预计’等方式呈现，缺乏具体、可追溯的权威来源标注。基于资料提炼的个人独到见解和判断相对较少，更多是事实的归纳与陈述。扣3分。</t>
        </is>
      </c>
      <c r="I3" s="10" t="inlineStr"/>
    </row>
    <row r="4">
      <c r="A4" s="13" t="inlineStr">
        <is>
          <t>202502210167</t>
        </is>
      </c>
      <c r="B4" s="13" t="inlineStr">
        <is>
          <t>李靖镖</t>
        </is>
      </c>
      <c r="C4" s="13" t="inlineStr">
        <is>
          <t>AI影响评估</t>
        </is>
      </c>
      <c r="D4" s="10" t="inlineStr">
        <is>
          <t>正面影响分析</t>
        </is>
      </c>
      <c r="E4" s="14" t="n">
        <v>15</v>
      </c>
      <c r="F4" s="14" t="n">
        <v>14</v>
      </c>
      <c r="G4" s="14" t="n">
        <v>1</v>
      </c>
      <c r="H4" s="10" t="inlineStr">
        <is>
          <t>从智能决策、设备协同、数据价值挖掘三个方面系统阐述了AI对物联网行业的赋能作用，论证充分，案例具体。扣1分，部分案例（如某汽车零部件厂商）细节不足，影响论证深度。</t>
        </is>
      </c>
      <c r="I4" s="10" t="inlineStr"/>
    </row>
    <row r="5">
      <c r="A5" s="13" t="inlineStr">
        <is>
          <t>202502210167</t>
        </is>
      </c>
      <c r="B5" s="13" t="inlineStr">
        <is>
          <t>李靖镖</t>
        </is>
      </c>
      <c r="C5" s="13" t="inlineStr">
        <is>
          <t>AI影响评估</t>
        </is>
      </c>
      <c r="D5" s="10" t="inlineStr">
        <is>
          <t>负面影响与挑战分析</t>
        </is>
      </c>
      <c r="E5" s="14" t="n">
        <v>15</v>
      </c>
      <c r="F5" s="14" t="n">
        <v>14</v>
      </c>
      <c r="G5" s="14" t="n">
        <v>1</v>
      </c>
      <c r="H5" s="10" t="inlineStr">
        <is>
          <t>客观分析了行业分化、人才结构失衡、安全风险、成本压力和技术协同等挑战，并提出了初步的应对方向（如关注安全、成本等），分析较为全面。扣1分，对伦理风险等问题的探讨可以更深入。</t>
        </is>
      </c>
      <c r="I5" s="10" t="inlineStr"/>
    </row>
    <row r="6">
      <c r="A6" s="13" t="inlineStr">
        <is>
          <t>202502210167</t>
        </is>
      </c>
      <c r="B6" s="13" t="inlineStr">
        <is>
          <t>李靖镖</t>
        </is>
      </c>
      <c r="C6" s="13" t="inlineStr">
        <is>
          <t>职业规划与认知</t>
        </is>
      </c>
      <c r="D6" s="10" t="inlineStr">
        <is>
          <t>岗位匹配度分析</t>
        </is>
      </c>
      <c r="E6" s="14" t="n">
        <v>10</v>
      </c>
      <c r="F6" s="14" t="n">
        <v>9.5</v>
      </c>
      <c r="G6" s="14" t="n">
        <v>0.5</v>
      </c>
      <c r="H6" s="10" t="inlineStr">
        <is>
          <t>清晰列出了四大类超过10个具体岗位，并详细说明了岗位职责和技能要求。但报告主要描述了岗位的通用要求，将‘个人技能、专业知识’与目标岗位要求的匹配点具体化、个性化不足。扣0.5分。</t>
        </is>
      </c>
      <c r="I6" s="10" t="inlineStr"/>
    </row>
    <row r="7">
      <c r="A7" s="13" t="inlineStr">
        <is>
          <t>202502210167</t>
        </is>
      </c>
      <c r="B7" s="13" t="inlineStr">
        <is>
          <t>李靖镖</t>
        </is>
      </c>
      <c r="C7" s="13" t="inlineStr">
        <is>
          <t>职业规划与认知</t>
        </is>
      </c>
      <c r="D7" s="10" t="inlineStr">
        <is>
          <t>发展路径思考</t>
        </is>
      </c>
      <c r="E7" s="14" t="n">
        <v>10</v>
      </c>
      <c r="F7" s="14" t="n">
        <v>9</v>
      </c>
      <c r="G7" s="14" t="n">
        <v>1</v>
      </c>
      <c r="H7" s="10" t="inlineStr">
        <is>
          <t>在总结部分提出了技能进阶（夯实基础、聚焦领域、提升跨界能力）的初步规划，并结合了行业技术发展趋势（5G-A、量子物联网）。思考合理，但规划略显笼统，未与前面列举的具体岗位进行更紧密的结合。扣1分。</t>
        </is>
      </c>
      <c r="I7" s="10" t="inlineStr"/>
    </row>
    <row r="8">
      <c r="A8" s="13" t="inlineStr">
        <is>
          <t>202502210167</t>
        </is>
      </c>
      <c r="B8" s="13" t="inlineStr">
        <is>
          <t>李靖镖</t>
        </is>
      </c>
      <c r="C8" s="13" t="inlineStr">
        <is>
          <t>报告基础要求</t>
        </is>
      </c>
      <c r="D8" s="10" t="inlineStr">
        <is>
          <t>内容完整与逻辑性</t>
        </is>
      </c>
      <c r="E8" s="14" t="n">
        <v>10</v>
      </c>
      <c r="F8" s="14" t="n">
        <v>9.5</v>
      </c>
      <c r="G8" s="14" t="n">
        <v>0.5</v>
      </c>
      <c r="H8" s="10" t="inlineStr">
        <is>
          <t>报告涵盖专业认知、行业分析、AI影响、职业规划等所有要求部分，结构清晰，各部分之间承接关系明确。逻辑连贯，但部分段落（如薪资数据列举）稍显冗长，略微影响整体节奏。扣0.5分。</t>
        </is>
      </c>
      <c r="I8" s="10" t="inlineStr"/>
    </row>
    <row r="9">
      <c r="A9" s="13" t="inlineStr">
        <is>
          <t>202502210167</t>
        </is>
      </c>
      <c r="B9" s="13" t="inlineStr">
        <is>
          <t>李靖镖</t>
        </is>
      </c>
      <c r="C9" s="13" t="inlineStr">
        <is>
          <t>报告基础要求</t>
        </is>
      </c>
      <c r="D9" s="10" t="inlineStr">
        <is>
          <t>字数与格式规范</t>
        </is>
      </c>
      <c r="E9" s="14" t="n">
        <v>10</v>
      </c>
      <c r="F9" s="14" t="n">
        <v>10</v>
      </c>
      <c r="G9" s="14" t="n">
        <v>0</v>
      </c>
      <c r="H9" s="10" t="inlineStr">
        <is>
          <t>正文部分字数远超2000字要求。格式规范，排版清晰，语言通顺，无明显语病和错别字。</t>
        </is>
      </c>
      <c r="I9" s="10" t="inlineStr"/>
    </row>
    <row r="10">
      <c r="A10" s="13" t="inlineStr">
        <is>
          <t>202502210167</t>
        </is>
      </c>
      <c r="B10" s="13" t="inlineStr">
        <is>
          <t>李靖镖</t>
        </is>
      </c>
      <c r="C10" s="13" t="inlineStr">
        <is>
          <t>AI使用合规与原创性（AI率扣分）</t>
        </is>
      </c>
      <c r="D10" s="10" t="inlineStr">
        <is>
          <t>格式与生成痕迹</t>
        </is>
      </c>
      <c r="E10" s="14" t="n">
        <v>10</v>
      </c>
      <c r="F10" s="14" t="n">
        <v>0</v>
      </c>
      <c r="G10" s="14" t="n">
        <v>10</v>
      </c>
      <c r="H10" s="10" t="inlineStr">
        <is>
          <t>未发现模板残留、Markdown语法或目录不匹配等问题。无扣分。</t>
        </is>
      </c>
      <c r="I10" s="10" t="inlineStr"/>
    </row>
    <row r="11">
      <c r="A11" s="13" t="inlineStr">
        <is>
          <t>202502210167</t>
        </is>
      </c>
      <c r="B11" s="13" t="inlineStr">
        <is>
          <t>李靖镖</t>
        </is>
      </c>
      <c r="C11" s="13" t="inlineStr">
        <is>
          <t>AI使用合规与原创性（AI率扣分）</t>
        </is>
      </c>
      <c r="D11" s="10" t="inlineStr">
        <is>
          <t>语言节奏与现场思考</t>
        </is>
      </c>
      <c r="E11" s="14" t="n">
        <v>12</v>
      </c>
      <c r="F11" s="14" t="n">
        <v>-4</v>
      </c>
      <c r="G11" s="14" t="n">
        <v>16</v>
      </c>
      <c r="H11" s="10" t="inlineStr">
        <is>
          <t>报告通篇语言风格统一、流畅，但句长和段落长度较为均匀，缺乏自然的口语化断句或长短句交替。连接词使用密度适中，但全文缺乏‘我认为’、‘我注意到’等体现现场思考和个人判断的痕迹，呈现出较强的‘标准报告’腔调。扣4分。</t>
        </is>
      </c>
      <c r="I11" s="10" t="inlineStr"/>
    </row>
    <row r="12">
      <c r="A12" s="13" t="inlineStr">
        <is>
          <t>202502210167</t>
        </is>
      </c>
      <c r="B12" s="13" t="inlineStr">
        <is>
          <t>李靖镖</t>
        </is>
      </c>
      <c r="C12" s="13" t="inlineStr">
        <is>
          <t>AI使用合规与原创性（AI率扣分）</t>
        </is>
      </c>
      <c r="D12" s="10" t="inlineStr">
        <is>
          <t>事实可核验与引用可信度</t>
        </is>
      </c>
      <c r="E12" s="14" t="n">
        <v>10</v>
      </c>
      <c r="F12" s="14" t="n">
        <v>-3</v>
      </c>
      <c r="G12" s="14" t="n">
        <v>13</v>
      </c>
      <c r="H12" s="10" t="inlineStr">
        <is>
          <t>报告中引用了大量精确数据（如市场规模、增长率、薪资水平等），但绝大多数以‘预计’、‘据显示’、‘调研显示’等模糊方式呈现，未提供具体、可公开追溯的文献、报告或网址来源。存在‘拟真数据’嫌疑，降低了核验可信度。扣3分。</t>
        </is>
      </c>
      <c r="I12" s="10" t="inlineStr"/>
    </row>
    <row r="13">
      <c r="A13" s="13" t="inlineStr">
        <is>
          <t>202502210167</t>
        </is>
      </c>
      <c r="B13" s="13" t="inlineStr">
        <is>
          <t>李靖镖</t>
        </is>
      </c>
      <c r="C13" s="13" t="inlineStr">
        <is>
          <t>AI使用合规与原创性（AI率扣分）</t>
        </is>
      </c>
      <c r="D13" s="10" t="inlineStr">
        <is>
          <t>个人加工与反例/代价意识</t>
        </is>
      </c>
      <c r="E13" s="14" t="n">
        <v>9</v>
      </c>
      <c r="F13" s="14" t="n">
        <v>-5</v>
      </c>
      <c r="G13" s="14" t="n">
        <v>14</v>
      </c>
      <c r="H13" s="10" t="inlineStr">
        <is>
          <t>全文几乎未使用‘我选择’、‘我认为’、‘基于我的经历’等个人判断表述。虽然有对挑战和负面影响的分析，但缺乏从个人角度出发的取舍讨论、代价权衡或具体失败案例的反省。报告内容更像是对公开信息的整合，个人加工与内化痕迹薄弱。扣5分。</t>
        </is>
      </c>
      <c r="I13" s="10" t="inlineStr"/>
    </row>
    <row r="14">
      <c r="A14" s="13" t="inlineStr">
        <is>
          <t>202502210147</t>
        </is>
      </c>
      <c r="B14" s="13" t="inlineStr">
        <is>
          <t>汤智健</t>
        </is>
      </c>
      <c r="C14" s="13" t="inlineStr">
        <is>
          <t>行业发展分析</t>
        </is>
      </c>
      <c r="D14" s="10" t="inlineStr">
        <is>
          <t>分析广度与深度</t>
        </is>
      </c>
      <c r="E14" s="14" t="n">
        <v>15</v>
      </c>
      <c r="F14" s="14" t="n">
        <v>14</v>
      </c>
      <c r="G14" s="14" t="n">
        <v>1</v>
      </c>
      <c r="H14" s="10" t="inlineStr">
        <is>
          <t>分析全面且深入，覆盖了历史沿革、市场规模、应用领域、技术方向及企业案例，逻辑清晰，有数据和案例支撑。扣1分因部分未来趋势分析（如具体技术渗透率）缺乏直接数据来源支撑。</t>
        </is>
      </c>
      <c r="I14" s="10" t="inlineStr"/>
    </row>
    <row r="15">
      <c r="A15" s="13" t="inlineStr">
        <is>
          <t>202502210147</t>
        </is>
      </c>
      <c r="B15" s="13" t="inlineStr">
        <is>
          <t>汤智健</t>
        </is>
      </c>
      <c r="C15" s="13" t="inlineStr">
        <is>
          <t>行业发展分析</t>
        </is>
      </c>
      <c r="D15" s="10" t="inlineStr">
        <is>
          <t>资料与洞察</t>
        </is>
      </c>
      <c r="E15" s="14" t="n">
        <v>15</v>
      </c>
      <c r="F15" s="14" t="n">
        <v>12</v>
      </c>
      <c r="G15" s="14" t="n">
        <v>3</v>
      </c>
      <c r="H15" s="10" t="inlineStr">
        <is>
          <t>引用了GSMA、IDC等权威报告，数据丰富。但报告整体偏向事实与数据罗列，基于资料提炼的个人独到见解与判断稍显薄弱，更多是整合与转述。扣3分。</t>
        </is>
      </c>
      <c r="I15" s="10" t="inlineStr"/>
    </row>
    <row r="16">
      <c r="A16" s="13" t="inlineStr">
        <is>
          <t>202502210147</t>
        </is>
      </c>
      <c r="B16" s="13" t="inlineStr">
        <is>
          <t>汤智健</t>
        </is>
      </c>
      <c r="C16" s="13" t="inlineStr">
        <is>
          <t>AI影响评估</t>
        </is>
      </c>
      <c r="D16" s="10" t="inlineStr">
        <is>
          <t>正面影响分析</t>
        </is>
      </c>
      <c r="E16" s="14" t="n">
        <v>15</v>
      </c>
      <c r="F16" s="14" t="n">
        <v>14.5</v>
      </c>
      <c r="G16" s="14" t="n">
        <v>0.5</v>
      </c>
      <c r="H16" s="10" t="inlineStr">
        <is>
          <t>系统阐述了AI在开发工具、效率提升、创新门槛降低等方面的赋能作用，论证具体，有量化分析（如效率提升百分比）。扣0.5分因部分效率提升数据（如自动化测试覆盖率）缺乏明确出处。</t>
        </is>
      </c>
      <c r="I16" s="10" t="inlineStr"/>
    </row>
    <row r="17">
      <c r="A17" s="13" t="inlineStr">
        <is>
          <t>202502210147</t>
        </is>
      </c>
      <c r="B17" s="13" t="inlineStr">
        <is>
          <t>汤智健</t>
        </is>
      </c>
      <c r="C17" s="13" t="inlineStr">
        <is>
          <t>AI影响评估</t>
        </is>
      </c>
      <c r="D17" s="10" t="inlineStr">
        <is>
          <t>负面影响与挑战分析</t>
        </is>
      </c>
      <c r="E17" s="14" t="n">
        <v>15</v>
      </c>
      <c r="F17" s="14" t="n">
        <v>14</v>
      </c>
      <c r="G17" s="14" t="n">
        <v>1</v>
      </c>
      <c r="H17" s="10" t="inlineStr">
        <is>
          <t>客观分析了就业结构调整、技术性失业风险等挑战，并提出了能力发展建议，有初步应对思考。扣1分因对伦理风险、技术依赖等更深层次挑战的探讨可进一步深化。</t>
        </is>
      </c>
      <c r="I17" s="10" t="inlineStr"/>
    </row>
    <row r="18">
      <c r="A18" s="13" t="inlineStr">
        <is>
          <t>202502210147</t>
        </is>
      </c>
      <c r="B18" s="13" t="inlineStr">
        <is>
          <t>汤智健</t>
        </is>
      </c>
      <c r="C18" s="13" t="inlineStr">
        <is>
          <t>职业规划与认知</t>
        </is>
      </c>
      <c r="D18" s="10" t="inlineStr">
        <is>
          <t>岗位匹配度分析</t>
        </is>
      </c>
      <c r="E18" s="14" t="n">
        <v>10</v>
      </c>
      <c r="F18" s="14" t="n">
        <v>9.5</v>
      </c>
      <c r="G18" s="14" t="n">
        <v>0.5</v>
      </c>
      <c r="H18" s="10" t="inlineStr">
        <is>
          <t>清晰列出了物联网解决方案架构师作为目标岗位，并从技术、行业知识、软技能等多维度详细说明了匹配点，分析到位。扣0.5分因未明确列出1-3个岗位，而是聚焦于一个岗位进行深度分析，虽深入但未完全满足细则要求。</t>
        </is>
      </c>
      <c r="I18" s="10" t="inlineStr"/>
    </row>
    <row r="19">
      <c r="A19" s="13" t="inlineStr">
        <is>
          <t>202502210147</t>
        </is>
      </c>
      <c r="B19" s="13" t="inlineStr">
        <is>
          <t>汤智健</t>
        </is>
      </c>
      <c r="C19" s="13" t="inlineStr">
        <is>
          <t>职业规划与认知</t>
        </is>
      </c>
      <c r="D19" s="10" t="inlineStr">
        <is>
          <t>发展路径思考</t>
        </is>
      </c>
      <c r="E19" s="14" t="n">
        <v>10</v>
      </c>
      <c r="F19" s="14" t="n">
        <v>9</v>
      </c>
      <c r="G19" s="14" t="n">
        <v>1</v>
      </c>
      <c r="H19" s="10" t="inlineStr">
        <is>
          <t>结合行业与AI趋势，对目标岗位的技能进阶、认证获取、实践积累等有非常具体和合理的规划，思考深入。扣1分因规划略显模板化，个人独特的阶段性目标与调整策略可更突出。</t>
        </is>
      </c>
      <c r="I19" s="10" t="inlineStr"/>
    </row>
    <row r="20">
      <c r="A20" s="13" t="inlineStr">
        <is>
          <t>202502210147</t>
        </is>
      </c>
      <c r="B20" s="13" t="inlineStr">
        <is>
          <t>汤智健</t>
        </is>
      </c>
      <c r="C20" s="13" t="inlineStr">
        <is>
          <t>报告基础要求</t>
        </is>
      </c>
      <c r="D20" s="10" t="inlineStr">
        <is>
          <t>内容完整与逻辑性</t>
        </is>
      </c>
      <c r="E20" s="14" t="n">
        <v>10</v>
      </c>
      <c r="F20" s="14" t="n">
        <v>9.5</v>
      </c>
      <c r="G20" s="14" t="n">
        <v>0.5</v>
      </c>
      <c r="H20" s="10" t="inlineStr">
        <is>
          <t>报告内容非常完整，从专业认知到职业规划，结构合理，各部分承接关系清晰，逻辑性强。扣0.5分因附录部分“统规划”为明显笔误，影响严谨性。</t>
        </is>
      </c>
      <c r="I20" s="10" t="inlineStr"/>
    </row>
    <row r="21">
      <c r="A21" s="13" t="inlineStr">
        <is>
          <t>202502210147</t>
        </is>
      </c>
      <c r="B21" s="13" t="inlineStr">
        <is>
          <t>汤智健</t>
        </is>
      </c>
      <c r="C21" s="13" t="inlineStr">
        <is>
          <t>报告基础要求</t>
        </is>
      </c>
      <c r="D21" s="10" t="inlineStr">
        <is>
          <t>字数与格式规范</t>
        </is>
      </c>
      <c r="E21" s="14" t="n">
        <v>10</v>
      </c>
      <c r="F21" s="14" t="n">
        <v>5</v>
      </c>
      <c r="G21" s="14" t="n">
        <v>5</v>
      </c>
      <c r="H21" s="10" t="inlineStr">
        <is>
          <t>正文部分字数远超2000字，语言通顺。但格式存在严重问题：1）正文末尾残留了“格式要求：...”等作业指令（见“作业提交时请删除本页‘作业要求’内容”）；2）文件命名规则等要求也包含在内。此属于未清理的作业要求残留，严重违反格式规范。扣5分。</t>
        </is>
      </c>
      <c r="I21" s="10" t="inlineStr"/>
    </row>
    <row r="22">
      <c r="A22" s="13" t="inlineStr">
        <is>
          <t>202502210147</t>
        </is>
      </c>
      <c r="B22" s="13" t="inlineStr">
        <is>
          <t>汤智健</t>
        </is>
      </c>
      <c r="C22" s="13" t="inlineStr">
        <is>
          <t>AI使用合规与原创性（AI率扣分）</t>
        </is>
      </c>
      <c r="D22" s="10" t="inlineStr">
        <is>
          <t>格式与生成痕迹</t>
        </is>
      </c>
      <c r="E22" s="14" t="n">
        <v>10</v>
      </c>
      <c r="F22" s="14" t="n">
        <v>-8</v>
      </c>
      <c r="G22" s="14" t="n">
        <v>18</v>
      </c>
      <c r="H22" s="10" t="inlineStr">
        <is>
          <t>扣8分。存在严重的模板/作业要求残留（如正文末尾的“格式要求”、“文件命名”、“作业提交时请删除”等未清理内容），属于明显的生成后未仔细检查与修改的痕迹。</t>
        </is>
      </c>
      <c r="I22" s="10" t="inlineStr"/>
    </row>
    <row r="23">
      <c r="A23" s="13" t="inlineStr">
        <is>
          <t>202502210147</t>
        </is>
      </c>
      <c r="B23" s="13" t="inlineStr">
        <is>
          <t>汤智健</t>
        </is>
      </c>
      <c r="C23" s="13" t="inlineStr">
        <is>
          <t>AI使用合规与原创性（AI率扣分）</t>
        </is>
      </c>
      <c r="D23" s="10" t="inlineStr">
        <is>
          <t>语言节奏与现场思考</t>
        </is>
      </c>
      <c r="E23" s="14" t="n">
        <v>12</v>
      </c>
      <c r="F23" s="14" t="n">
        <v>-8</v>
      </c>
      <c r="G23" s="14" t="n">
        <v>20</v>
      </c>
      <c r="H23" s="10" t="inlineStr">
        <is>
          <t>扣8分。通篇语言呈现“标准论文腔”，句长与段落长度均匀，连接词使用密度高且模式化（如大量使用“通过...”、“重点在于...”、“需要掌握...”等结构），缺乏自然的口语化停顿、长短句交替及自我修正、犹豫等现场思考痕迹。</t>
        </is>
      </c>
      <c r="I23" s="10" t="inlineStr"/>
    </row>
    <row r="24">
      <c r="A24" s="13" t="inlineStr">
        <is>
          <t>202502210147</t>
        </is>
      </c>
      <c r="B24" s="13" t="inlineStr">
        <is>
          <t>汤智健</t>
        </is>
      </c>
      <c r="C24" s="13" t="inlineStr">
        <is>
          <t>AI使用合规与原创性（AI率扣分）</t>
        </is>
      </c>
      <c r="D24" s="10" t="inlineStr">
        <is>
          <t>事实可核验与引用可信度</t>
        </is>
      </c>
      <c r="E24" s="14" t="n">
        <v>10</v>
      </c>
      <c r="F24" s="14" t="n">
        <v>-4</v>
      </c>
      <c r="G24" s="14" t="n">
        <v>14</v>
      </c>
      <c r="H24" s="10" t="inlineStr">
        <is>
          <t>扣4分。报告引用了GSMA、IDC等机构，但大量精确数据（如具体百分比、增长率、市场规模）仅以“根据...报告”笼统带过，未提供具体报告页码、章节或可公开访问的链接，可核验性不足。部分数据（如企业具体设备连接数、渗透率）疑似“拟真数据”，难以核查。</t>
        </is>
      </c>
      <c r="I24" s="10" t="inlineStr"/>
    </row>
    <row r="25">
      <c r="A25" s="13" t="inlineStr">
        <is>
          <t>202502210147</t>
        </is>
      </c>
      <c r="B25" s="13" t="inlineStr">
        <is>
          <t>汤智健</t>
        </is>
      </c>
      <c r="C25" s="13" t="inlineStr">
        <is>
          <t>AI使用合规与原创性（AI率扣分）</t>
        </is>
      </c>
      <c r="D25" s="10" t="inlineStr">
        <is>
          <t>个人加工与反例/代价意识</t>
        </is>
      </c>
      <c r="E25" s="14" t="n">
        <v>9</v>
      </c>
      <c r="F25" s="14" t="n">
        <v>-7</v>
      </c>
      <c r="G25" s="14" t="n">
        <v>16</v>
      </c>
      <c r="H25" s="10" t="inlineStr">
        <is>
          <t>扣7分。全文几乎无“我选择/我认为/我倾向”等个人判断痕迹，也未见具体到“某门课/某次实验”的个人学习经历叙述。报告以客观陈述和总结为主，缺乏对技术方案取舍、个人能力短板、规划可能遇到的代价或反例的讨论，个人加工与内化痕迹薄弱。</t>
        </is>
      </c>
      <c r="I25" s="10" t="inlineStr"/>
    </row>
    <row r="26">
      <c r="A26" s="13" t="inlineStr">
        <is>
          <t>202502210088</t>
        </is>
      </c>
      <c r="B26" s="13" t="inlineStr">
        <is>
          <t>物联网工程</t>
        </is>
      </c>
      <c r="C26" s="13" t="inlineStr">
        <is>
          <t>行业发展分析</t>
        </is>
      </c>
      <c r="D26" s="10" t="inlineStr">
        <is>
          <t>分析广度与深度</t>
        </is>
      </c>
      <c r="E26" s="14" t="n">
        <v>15</v>
      </c>
      <c r="F26" s="14" t="n">
        <v>12</v>
      </c>
      <c r="G26" s="14" t="n">
        <v>3</v>
      </c>
      <c r="H26" s="10" t="inlineStr">
        <is>
          <t>报告分析了物联网行业的历史增长、市场结构、细分领域和头部企业，内容较为全面，逻辑清晰。但历史沿革部分较为简略，未来趋势分析深度可进一步加强。</t>
        </is>
      </c>
      <c r="I26" s="10" t="inlineStr"/>
    </row>
    <row r="27">
      <c r="A27" s="13" t="inlineStr">
        <is>
          <t>202502210088</t>
        </is>
      </c>
      <c r="B27" s="13" t="inlineStr">
        <is>
          <t>物联网工程</t>
        </is>
      </c>
      <c r="C27" s="13" t="inlineStr">
        <is>
          <t>行业发展分析</t>
        </is>
      </c>
      <c r="D27" s="10" t="inlineStr">
        <is>
          <t>资料与洞察</t>
        </is>
      </c>
      <c r="E27" s="14" t="n">
        <v>15</v>
      </c>
      <c r="F27" s="14" t="n">
        <v>10</v>
      </c>
      <c r="G27" s="14" t="n">
        <v>5</v>
      </c>
      <c r="H27" s="10" t="inlineStr">
        <is>
          <t>引用了市场规模、增长率等数据，但部分数据来源（如“新华社、中商产业研究院整理”）不够具体，难以核验。对市场结构转型、人才缺点的分析体现了提炼能力，但个人独到的、批判性的见解相对有限。</t>
        </is>
      </c>
      <c r="I27" s="10" t="inlineStr"/>
    </row>
    <row r="28">
      <c r="A28" s="13" t="inlineStr">
        <is>
          <t>202502210088</t>
        </is>
      </c>
      <c r="B28" s="13" t="inlineStr">
        <is>
          <t>物联网工程</t>
        </is>
      </c>
      <c r="C28" s="13" t="inlineStr">
        <is>
          <t>AI影响评估</t>
        </is>
      </c>
      <c r="D28" s="10" t="inlineStr">
        <is>
          <t>正面影响分析</t>
        </is>
      </c>
      <c r="E28" s="14" t="n">
        <v>15</v>
      </c>
      <c r="F28" s="14" t="n">
        <v>13</v>
      </c>
      <c r="G28" s="14" t="n">
        <v>2</v>
      </c>
      <c r="H28" s="10" t="inlineStr">
        <is>
          <t>从开发、运维、数据价值三个维度系统阐述了AI的赋能作用，并辅以具体案例（如智慧农业项目周期缩短、工厂维护成本降低），论证较为充分。</t>
        </is>
      </c>
      <c r="I28" s="10" t="inlineStr"/>
    </row>
    <row r="29">
      <c r="A29" s="13" t="inlineStr">
        <is>
          <t>202502210088</t>
        </is>
      </c>
      <c r="B29" s="13" t="inlineStr">
        <is>
          <t>物联网工程</t>
        </is>
      </c>
      <c r="C29" s="13" t="inlineStr">
        <is>
          <t>AI影响评估</t>
        </is>
      </c>
      <c r="D29" s="10" t="inlineStr">
        <is>
          <t>负面影响与挑战分析</t>
        </is>
      </c>
      <c r="E29" s="14" t="n">
        <v>15</v>
      </c>
      <c r="F29" s="14" t="n">
        <v>12</v>
      </c>
      <c r="G29" s="14" t="n">
        <v>3</v>
      </c>
      <c r="H29" s="10" t="inlineStr">
        <is>
          <t>客观分析了AI可能替代的初级岗位，并评估了技术性失业风险，提出了“技术深耕+跨界拓展”等个人应对思路，思考较为全面。但对伦理风险、技术依赖等挑战的探讨可以更深入。</t>
        </is>
      </c>
      <c r="I29" s="10" t="inlineStr"/>
    </row>
    <row r="30">
      <c r="A30" s="13" t="inlineStr">
        <is>
          <t>202502210088</t>
        </is>
      </c>
      <c r="B30" s="13" t="inlineStr">
        <is>
          <t>物联网工程</t>
        </is>
      </c>
      <c r="C30" s="13" t="inlineStr">
        <is>
          <t>职业规划与认知</t>
        </is>
      </c>
      <c r="D30" s="10" t="inlineStr">
        <is>
          <t>岗位匹配度分析</t>
        </is>
      </c>
      <c r="E30" s="14" t="n">
        <v>10</v>
      </c>
      <c r="F30" s="14" t="n">
        <v>9</v>
      </c>
      <c r="G30" s="14" t="n">
        <v>1</v>
      </c>
      <c r="H30" s="10" t="inlineStr">
        <is>
          <t>清晰列出了“工业物联网嵌入式开发工程师”这一目标岗位，并详细说明了岗位职责与个人已掌握技能（C/C++、STM32、传感器知识）的匹配点，分析具体。但仅列出一个岗位，未完全满足“1-3个”的要求。</t>
        </is>
      </c>
      <c r="I30" s="10" t="inlineStr"/>
    </row>
    <row r="31">
      <c r="A31" s="13" t="inlineStr">
        <is>
          <t>202502210088</t>
        </is>
      </c>
      <c r="B31" s="13" t="inlineStr">
        <is>
          <t>物联网工程</t>
        </is>
      </c>
      <c r="C31" s="13" t="inlineStr">
        <is>
          <t>职业规划与认知</t>
        </is>
      </c>
      <c r="D31" s="10" t="inlineStr">
        <is>
          <t>发展路径思考</t>
        </is>
      </c>
      <c r="E31" s="14" t="n">
        <v>10</v>
      </c>
      <c r="F31" s="14" t="n">
        <v>8</v>
      </c>
      <c r="G31" s="14" t="n">
        <v>2</v>
      </c>
      <c r="H31" s="10" t="inlineStr">
        <is>
          <t>结合AI影响提出了“技术深耕+跨界拓展”等技能进阶方向，规划合理。但发展路径（如角色转变、具体时间线）的思考可以更具体、更具阶段性。</t>
        </is>
      </c>
      <c r="I31" s="10" t="inlineStr"/>
    </row>
    <row r="32">
      <c r="A32" s="13" t="inlineStr">
        <is>
          <t>202502210088</t>
        </is>
      </c>
      <c r="B32" s="13" t="inlineStr">
        <is>
          <t>物联网工程</t>
        </is>
      </c>
      <c r="C32" s="13" t="inlineStr">
        <is>
          <t>报告基础要求</t>
        </is>
      </c>
      <c r="D32" s="10" t="inlineStr">
        <is>
          <t>内容完整与逻辑性</t>
        </is>
      </c>
      <c r="E32" s="14" t="n">
        <v>10</v>
      </c>
      <c r="F32" s="14" t="n">
        <v>6</v>
      </c>
      <c r="G32" s="14" t="n">
        <v>4</v>
      </c>
      <c r="H32" s="10" t="inlineStr">
        <is>
          <t>报告各部分（专业认知、行业分析、AI影响、职业规划）结构合理，逻辑连贯，有清晰的承接关系。但报告在“4.1 目标岗位画像”后戛然而止，缺少行动规划的具体内容（如短期、长期计划），内容不完整。</t>
        </is>
      </c>
      <c r="I32" s="10" t="inlineStr"/>
    </row>
    <row r="33">
      <c r="A33" s="13" t="inlineStr">
        <is>
          <t>202502210088</t>
        </is>
      </c>
      <c r="B33" s="13" t="inlineStr">
        <is>
          <t>物联网工程</t>
        </is>
      </c>
      <c r="C33" s="13" t="inlineStr">
        <is>
          <t>报告基础要求</t>
        </is>
      </c>
      <c r="D33" s="10" t="inlineStr">
        <is>
          <t>字数与格式规范</t>
        </is>
      </c>
      <c r="E33" s="14" t="n">
        <v>10</v>
      </c>
      <c r="F33" s="14" t="n">
        <v>2</v>
      </c>
      <c r="G33" s="14" t="n">
        <v>8</v>
      </c>
      <c r="H33" s="10" t="inlineStr">
        <is>
          <t>正文部分（不含目录等）字数严重不足2000字。格式上，目录与正文标题存在不匹配（如目录有“4.2”但正文缺失），且正文中使用了Markdown标题（如“一、专业的 “真相””）和列表符号，排版不规范。</t>
        </is>
      </c>
      <c r="I33" s="10" t="inlineStr"/>
    </row>
    <row r="34">
      <c r="A34" s="13" t="inlineStr">
        <is>
          <t>202502210088</t>
        </is>
      </c>
      <c r="B34" s="13" t="inlineStr">
        <is>
          <t>物联网工程</t>
        </is>
      </c>
      <c r="C34" s="13" t="inlineStr">
        <is>
          <t>AI使用合规与原创性（AI率扣分）</t>
        </is>
      </c>
      <c r="D34" s="10" t="inlineStr">
        <is>
          <t>格式与生成痕迹</t>
        </is>
      </c>
      <c r="E34" s="14" t="n">
        <v>10</v>
      </c>
      <c r="F34" s="14" t="n">
        <v>-8</v>
      </c>
      <c r="G34" s="14" t="n">
        <v>18</v>
      </c>
      <c r="H34" s="10" t="inlineStr">
        <is>
          <t>正文中残留Markdown语法（如“#”、“**”等未显示的标题格式和列表符号），目录与正文结构不匹配（目录有“4.2”但正文缺失），存在明显的模板或生成工具使用痕迹。</t>
        </is>
      </c>
      <c r="I34" s="10" t="inlineStr"/>
    </row>
    <row r="35">
      <c r="A35" s="13" t="inlineStr">
        <is>
          <t>202502210088</t>
        </is>
      </c>
      <c r="B35" s="13" t="inlineStr">
        <is>
          <t>物联网工程</t>
        </is>
      </c>
      <c r="C35" s="13" t="inlineStr">
        <is>
          <t>AI使用合规与原创性（AI率扣分）</t>
        </is>
      </c>
      <c r="D35" s="10" t="inlineStr">
        <is>
          <t>语言节奏与现场思考</t>
        </is>
      </c>
      <c r="E35" s="14" t="n">
        <v>12</v>
      </c>
      <c r="F35" s="14" t="n">
        <v>-6</v>
      </c>
      <c r="G35" s="14" t="n">
        <v>18</v>
      </c>
      <c r="H35" s="10" t="inlineStr">
        <is>
          <t>语言通顺但节奏均匀，段落长度机械，多使用“一是…二是…三是…”等排比结构，连接词密度高，缺乏自然的口语化断句和自我修正、犹豫的表达，接近标准化的机器输出。</t>
        </is>
      </c>
      <c r="I35" s="10" t="inlineStr"/>
    </row>
    <row r="36">
      <c r="A36" s="13" t="inlineStr">
        <is>
          <t>202502210088</t>
        </is>
      </c>
      <c r="B36" s="13" t="inlineStr">
        <is>
          <t>物联网工程</t>
        </is>
      </c>
      <c r="C36" s="13" t="inlineStr">
        <is>
          <t>AI使用合规与原创性（AI率扣分）</t>
        </is>
      </c>
      <c r="D36" s="10" t="inlineStr">
        <is>
          <t>事实可核验与引用可信度</t>
        </is>
      </c>
      <c r="E36" s="14" t="n">
        <v>10</v>
      </c>
      <c r="F36" s="14" t="n">
        <v>-5</v>
      </c>
      <c r="G36" s="14" t="n">
        <v>15</v>
      </c>
      <c r="H36" s="10" t="inlineStr">
        <is>
          <t>引用了大量精确数据（如市场规模、增长率、设备数量、节省费用），但来源标注模糊（如“据行业报告”、“某工厂”），无法有效追溯和核验，存在“拟真幻觉数据”的风险。</t>
        </is>
      </c>
      <c r="I36" s="10" t="inlineStr"/>
    </row>
    <row r="37">
      <c r="A37" s="13" t="inlineStr">
        <is>
          <t>202502210088</t>
        </is>
      </c>
      <c r="B37" s="13" t="inlineStr">
        <is>
          <t>物联网工程</t>
        </is>
      </c>
      <c r="C37" s="13" t="inlineStr">
        <is>
          <t>AI使用合规与原创性（AI率扣分）</t>
        </is>
      </c>
      <c r="D37" s="10" t="inlineStr">
        <is>
          <t>个人加工与反例/代价意识</t>
        </is>
      </c>
      <c r="E37" s="14" t="n">
        <v>9</v>
      </c>
      <c r="F37" s="14" t="n">
        <v>-4</v>
      </c>
      <c r="G37" s="14" t="n">
        <v>13</v>
      </c>
      <c r="H37" s="10" t="inlineStr">
        <is>
          <t>报告在专业认知和应对思路部分使用了“我发现”、“我选择”、“个人应对思路”等个人判断痕迹。但整体上，对行业趋势、AI影响的分析多为正向堆叠与总结，缺乏对技术路径选择代价、方案实施反例等更深层次的个人化讨论与反思。</t>
        </is>
      </c>
      <c r="I37" s="10" t="inlineStr"/>
    </row>
  </sheetData>
  <conditionalFormatting sqref="A2:I37">
    <cfRule type="expression" priority="1" dxfId="0">
      <formula>MOD(ROW(),2)=0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</cols>
  <sheetData>
    <row r="1" ht="24" customHeight="1">
      <c r="A1" s="12" t="inlineStr">
        <is>
          <t>字段</t>
        </is>
      </c>
      <c r="B1" s="12" t="inlineStr">
        <is>
          <t>值</t>
        </is>
      </c>
    </row>
    <row r="2">
      <c r="A2" s="13" t="inlineStr">
        <is>
          <t>批次ID</t>
        </is>
      </c>
      <c r="B2" s="10" t="inlineStr">
        <is>
          <t>batch-20260108-144625-wekk2k</t>
        </is>
      </c>
    </row>
    <row r="3">
      <c r="A3" s="13" t="inlineStr">
        <is>
          <t>目标满分</t>
        </is>
      </c>
      <c r="B3" s="10" t="inlineStr">
        <is>
          <t>60.0</t>
        </is>
      </c>
    </row>
    <row r="4">
      <c r="A4" s="13" t="inlineStr">
        <is>
          <t>规则满分（可能多值）</t>
        </is>
      </c>
      <c r="B4" s="10" t="inlineStr">
        <is>
          <t>100.0</t>
        </is>
      </c>
    </row>
    <row r="5">
      <c r="A5" s="13" t="inlineStr">
        <is>
          <t>模型列表</t>
        </is>
      </c>
      <c r="B5" s="10" t="inlineStr">
        <is>
          <t>deepseek-ai/DeepSeek-V3.2@https://api.siliconflow.cn/v1/chat/completions；deepseek-ai/DeepSeek-V3.2@https://api.siliconflow.cn/v1/chat/completions</t>
        </is>
      </c>
    </row>
    <row r="6">
      <c r="A6" s="13" t="inlineStr">
        <is>
          <t>聚合算法</t>
        </is>
      </c>
      <c r="B6" s="10" t="inlineStr">
        <is>
          <t>平均分（成功模型）</t>
        </is>
      </c>
    </row>
    <row r="7">
      <c r="A7" s="13" t="inlineStr">
        <is>
          <t>多模型总体评语</t>
        </is>
      </c>
      <c r="B7" s="10" t="inlineStr">
        <is>
          <t>启用多模型时，会用主模型二次生成总体评语（JSON）</t>
        </is>
      </c>
    </row>
    <row r="8">
      <c r="A8" s="13" t="inlineStr">
        <is>
          <t>并发限制</t>
        </is>
      </c>
      <c r="B8" s="10" t="inlineStr">
        <is>
          <t>文件=5；模型=2/接口；单次超时=300秒；重试=3次</t>
        </is>
      </c>
    </row>
    <row r="9">
      <c r="A9" s="13" t="inlineStr">
        <is>
          <t>文件总数</t>
        </is>
      </c>
      <c r="B9" s="10" t="inlineStr">
        <is>
          <t>4</t>
        </is>
      </c>
    </row>
    <row r="10">
      <c r="A10" s="13" t="inlineStr">
        <is>
          <t>成功数</t>
        </is>
      </c>
      <c r="B10" s="10" t="inlineStr">
        <is>
          <t>3</t>
        </is>
      </c>
    </row>
    <row r="11">
      <c r="A11" s="13" t="inlineStr">
        <is>
          <t>失败数</t>
        </is>
      </c>
      <c r="B11" s="10" t="inlineStr">
        <is>
          <t>1</t>
        </is>
      </c>
    </row>
    <row r="12">
      <c r="A12" s="13" t="inlineStr">
        <is>
          <t>平均分（目标满分制）</t>
        </is>
      </c>
      <c r="B12" s="10" t="inlineStr">
        <is>
          <t>61.58</t>
        </is>
      </c>
    </row>
    <row r="13">
      <c r="A13" s="13" t="inlineStr">
        <is>
          <t>平均规则分</t>
        </is>
      </c>
      <c r="B13" s="10" t="inlineStr">
        <is>
          <t>62.83</t>
        </is>
      </c>
    </row>
  </sheetData>
  <conditionalFormatting sqref="A2:B13">
    <cfRule type="expression" priority="1" dxfId="0">
      <formula>MOD(ROW(),2)=0</formula>
    </cfRule>
  </conditionalFormatting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2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3.6" customWidth="1" min="3" max="3"/>
  </cols>
  <sheetData>
    <row r="1" ht="24" customHeight="1">
      <c r="A1" s="12" t="inlineStr">
        <is>
          <t>错误类型</t>
        </is>
      </c>
      <c r="B1" s="12" t="inlineStr">
        <is>
          <t>数量</t>
        </is>
      </c>
      <c r="C1" s="12" t="inlineStr">
        <is>
          <t>占比</t>
        </is>
      </c>
    </row>
    <row r="2">
      <c r="A2" s="13" t="inlineStr">
        <is>
          <t>解析校验错误</t>
        </is>
      </c>
      <c r="B2" s="13" t="n">
        <v>1</v>
      </c>
      <c r="C2" s="15">
        <f>B2/SUM($B$2:$B$2)</f>
        <v/>
      </c>
    </row>
  </sheetData>
  <conditionalFormatting sqref="A2:C2">
    <cfRule type="expression" priority="1" dxfId="0">
      <formula>MOD(ROW(),2)=0</formula>
    </cfRule>
  </conditionalFormatting>
  <conditionalFormatting sqref="B2">
    <cfRule type="expression" priority="2" dxfId="4">
      <formula>TRUE</formula>
    </cfRule>
  </conditionalFormatting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2026-01-08T06:50:03Z</dcterms:created>
  <dcterms:modified xmlns:dcterms="http://purl.org/dc/terms/" xmlns:xsi="http://www.w3.org/2001/XMLSchema-instance" xsi:type="dcterms:W3CDTF">2026-01-08T06:50:03Z</dcterms:modified>
</cp:coreProperties>
</file>