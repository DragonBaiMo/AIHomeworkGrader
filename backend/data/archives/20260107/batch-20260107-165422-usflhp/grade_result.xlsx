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数据" sheetId="2" state="visible" r:id="rId2"/>
    <sheet xmlns:r="http://schemas.openxmlformats.org/officeDocument/2006/relationships" name="按学号汇总" sheetId="3" state="visible" r:id="rId3"/>
    <sheet xmlns:r="http://schemas.openxmlformats.org/officeDocument/2006/relationships" name="成绩总览" sheetId="4" state="visible" r:id="rId4"/>
    <sheet xmlns:r="http://schemas.openxmlformats.org/officeDocument/2006/relationships" name="批改模型结果（宽表）" sheetId="5" state="visible" r:id="rId5"/>
    <sheet xmlns:r="http://schemas.openxmlformats.org/officeDocument/2006/relationships" name="维度汇总" sheetId="6" state="visible" r:id="rId6"/>
    <sheet xmlns:r="http://schemas.openxmlformats.org/officeDocument/2006/relationships" name="细则明细" sheetId="7" state="visible" r:id="rId7"/>
    <sheet xmlns:r="http://schemas.openxmlformats.org/officeDocument/2006/relationships" name="批次总览" sheetId="8" state="visible" r:id="rId8"/>
    <sheet xmlns:r="http://schemas.openxmlformats.org/officeDocument/2006/relationships" name="错误统计" sheetId="9" state="visible" r:id="rId9"/>
  </sheets>
  <definedNames>
    <definedName name="_xlnm.Print_Titles" localSheetId="0">'Dashboard'!$1:$1</definedName>
    <definedName name="_xlnm.Print_Titles" localSheetId="1">'数据'!$1:$1</definedName>
    <definedName name="_xlnm.Print_Titles" localSheetId="2">'按学号汇总'!$1:$1</definedName>
    <definedName name="_xlnm.Print_Titles" localSheetId="3">'成绩总览'!$1:$1</definedName>
    <definedName name="_xlnm.Print_Titles" localSheetId="4">'批改模型结果（宽表）'!$1:$1</definedName>
    <definedName name="_xlnm.Print_Titles" localSheetId="5">'维度汇总'!$1:$1</definedName>
    <definedName name="_xlnm.Print_Titles" localSheetId="6">'细则明细'!$1:$1</definedName>
    <definedName name="_xlnm.Print_Titles" localSheetId="7">'批次总览'!$1:$1</definedName>
    <definedName name="_xlnm.Print_Titles" localSheetId="8">'错误统计'!$1:$1</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color rgb="00FFFFFF"/>
      <sz val="18"/>
    </font>
    <font>
      <color rgb="006B7280"/>
    </font>
    <font>
      <b val="1"/>
      <color rgb="002B2B2B"/>
      <sz val="12"/>
    </font>
    <font>
      <b val="1"/>
      <color rgb="002B2B2B"/>
      <sz val="22"/>
    </font>
    <font>
      <b val="1"/>
      <color rgb="002B2B2B"/>
      <sz val="14"/>
    </font>
    <font>
      <b val="1"/>
      <color rgb="002B2B2B"/>
      <sz val="13"/>
    </font>
    <font>
      <b val="1"/>
      <color rgb="00FFFFFF"/>
    </font>
    <font>
      <b val="1"/>
    </font>
    <font>
      <color rgb="000563C1"/>
      <u val="single"/>
    </font>
  </fonts>
  <fills count="5">
    <fill>
      <patternFill/>
    </fill>
    <fill>
      <patternFill patternType="gray125"/>
    </fill>
    <fill>
      <patternFill patternType="solid">
        <fgColor rgb="000B2F5B"/>
      </patternFill>
    </fill>
    <fill>
      <patternFill patternType="solid">
        <fgColor rgb="00F2F5F9"/>
      </patternFill>
    </fill>
    <fill>
      <patternFill patternType="solid">
        <fgColor rgb="001F4E79"/>
      </patternFill>
    </fill>
  </fills>
  <borders count="4">
    <border>
      <left/>
      <right/>
      <top/>
      <bottom/>
      <diagonal/>
    </border>
    <border>
      <left style="thin">
        <color rgb="00D6DCE5"/>
      </left>
      <right style="thin">
        <color rgb="00D6DCE5"/>
      </right>
      <top style="thin">
        <color rgb="00D6DCE5"/>
      </top>
      <bottom style="thin">
        <color rgb="00D6DCE5"/>
      </bottom>
    </border>
    <border>
      <left style="thin">
        <color rgb="00DDDDDD"/>
      </left>
      <right style="thin">
        <color rgb="00DDDDDD"/>
      </right>
      <top style="thin">
        <color rgb="00DDDDDD"/>
      </top>
      <bottom style="thin">
        <color rgb="00DDDDDD"/>
      </bottom>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4" fillId="3" borderId="1" applyAlignment="1" pivotButton="0" quotePrefix="0" xfId="0">
      <alignment horizontal="left" vertical="center"/>
    </xf>
    <xf numFmtId="0" fontId="0" fillId="3" borderId="1" pivotButton="0" quotePrefix="0" xfId="0"/>
    <xf numFmtId="0" fontId="2" fillId="3" borderId="1" pivotButton="0" quotePrefix="0" xfId="0"/>
    <xf numFmtId="0" fontId="5" fillId="3" borderId="1" applyAlignment="1" pivotButton="0" quotePrefix="0" xfId="0">
      <alignment horizontal="left" vertical="center"/>
    </xf>
    <xf numFmtId="0" fontId="5" fillId="3" borderId="1" applyAlignment="1" pivotButton="0" quotePrefix="0" xfId="0">
      <alignment horizontal="left" vertical="top" wrapText="1"/>
    </xf>
    <xf numFmtId="0" fontId="6" fillId="0" borderId="0" pivotButton="0" quotePrefix="0" xfId="0"/>
    <xf numFmtId="0" fontId="7" fillId="4" borderId="2" applyAlignment="1" pivotButton="0" quotePrefix="0" xfId="0">
      <alignment horizontal="left" vertical="center" wrapText="1"/>
    </xf>
    <xf numFmtId="0" fontId="0" fillId="0" borderId="3" applyAlignment="1" pivotButton="0" quotePrefix="0" xfId="0">
      <alignment horizontal="left" vertical="top" wrapText="1"/>
    </xf>
    <xf numFmtId="0" fontId="8" fillId="0" borderId="0" pivotButton="0" quotePrefix="0" xfId="0"/>
    <xf numFmtId="0" fontId="7" fillId="4" borderId="3" applyAlignment="1" pivotButton="0" quotePrefix="0" xfId="0">
      <alignment horizontal="left" vertical="top" wrapText="1"/>
    </xf>
    <xf numFmtId="0" fontId="0" fillId="0" borderId="3" applyAlignment="1" pivotButton="0" quotePrefix="0" xfId="0">
      <alignment horizontal="left" vertical="top"/>
    </xf>
    <xf numFmtId="2" fontId="0" fillId="0" borderId="3" applyAlignment="1" pivotButton="0" quotePrefix="0" xfId="0">
      <alignment horizontal="left" vertical="top"/>
    </xf>
    <xf numFmtId="164" fontId="0" fillId="0" borderId="3" applyAlignment="1" pivotButton="0" quotePrefix="0" xfId="0">
      <alignment horizontal="left" vertical="top"/>
    </xf>
    <xf numFmtId="0" fontId="9" fillId="0" borderId="3" applyAlignment="1" pivotButton="0" quotePrefix="0" xfId="0">
      <alignment horizontal="left" vertical="top"/>
    </xf>
    <xf numFmtId="1" fontId="0" fillId="0" borderId="3" applyAlignment="1" pivotButton="0" quotePrefix="0" xfId="0">
      <alignment horizontal="left" vertical="top"/>
    </xf>
  </cellXfs>
  <cellStyles count="1">
    <cellStyle name="Normal" xfId="0" builtinId="0" hidden="0"/>
  </cellStyles>
  <dxfs count="5">
    <dxf>
      <fill>
        <patternFill patternType="solid">
          <fgColor rgb="00F8FBFF"/>
        </patternFill>
      </fill>
    </dxf>
    <dxf>
      <fill>
        <patternFill patternType="solid">
          <fgColor rgb="00E2F0D9"/>
        </patternFill>
      </fill>
    </dxf>
    <dxf>
      <fill>
        <patternFill patternType="solid">
          <fgColor rgb="00F8CBAD"/>
        </patternFill>
      </fill>
    </dxf>
    <dxf>
      <fill>
        <patternFill patternType="solid">
          <fgColor rgb="00FFF2CC"/>
        </patternFill>
      </fill>
    </dxf>
    <dxf>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状态分布</a:t>
            </a:r>
          </a:p>
        </rich>
      </tx>
    </title>
    <plotArea>
      <pieChart>
        <varyColors val="1"/>
        <ser>
          <idx val="0"/>
          <order val="0"/>
          <tx>
            <strRef>
              <f>'数据'!B1</f>
            </strRef>
          </tx>
          <spPr>
            <a:ln xmlns:a="http://schemas.openxmlformats.org/drawingml/2006/main">
              <a:prstDash val="solid"/>
            </a:ln>
          </spPr>
          <cat>
            <numRef>
              <f>'数据'!$A$2:$A$3</f>
            </numRef>
          </cat>
          <val>
            <numRef>
              <f>'数据'!$B$2:$B$3</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分数分布</a:t>
            </a:r>
          </a:p>
        </rich>
      </tx>
    </title>
    <plotArea>
      <barChart>
        <barDir val="col"/>
        <grouping val="clustered"/>
        <ser>
          <idx val="0"/>
          <order val="0"/>
          <tx>
            <strRef>
              <f>'数据'!B5</f>
            </strRef>
          </tx>
          <spPr>
            <a:ln xmlns:a="http://schemas.openxmlformats.org/drawingml/2006/main">
              <a:prstDash val="solid"/>
            </a:ln>
          </spPr>
          <cat>
            <numRef>
              <f>'数据'!$A$6:$A$15</f>
            </numRef>
          </cat>
          <val>
            <numRef>
              <f>'数据'!$B$6:$B$15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分数段</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人数</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维度均分</a:t>
            </a:r>
          </a:p>
        </rich>
      </tx>
    </title>
    <plotArea>
      <barChart>
        <barDir val="col"/>
        <grouping val="clustered"/>
        <ser>
          <idx val="0"/>
          <order val="0"/>
          <tx>
            <strRef>
              <f>'数据'!E1</f>
            </strRef>
          </tx>
          <spPr>
            <a:ln xmlns:a="http://schemas.openxmlformats.org/drawingml/2006/main">
              <a:prstDash val="solid"/>
            </a:ln>
          </spPr>
          <cat>
            <numRef>
              <f>'数据'!$D$2:$D$19</f>
            </numRef>
          </cat>
          <val>
            <numRef>
              <f>'数据'!$E$2:$E$19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维度</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均分</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col>
      <colOff>0</colOff>
      <row>12</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12</row>
      <rowOff>0</rowOff>
    </from>
    <ext cx="432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12</row>
      <rowOff>0</rowOff>
    </from>
    <ext cx="432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StudentIdSummary" displayName="StudentIdSummary" ref="A1:L39" headerRowCount="1">
  <autoFilter ref="A1:L39"/>
  <tableColumns count="12">
    <tableColumn id="1" name="学号"/>
    <tableColumn id="2" name="姓名"/>
    <tableColumn id="3" name="当前分数"/>
    <tableColumn id="4" name="AI 对行业影响的辩证分析"/>
    <tableColumn id="5" name="动态调整与风险应对"/>
    <tableColumn id="6" name="岗位认知与个人职业定位"/>
    <tableColumn id="7" name="报告结构与表达规范"/>
    <tableColumn id="8" name="职业目标与能力基础"/>
    <tableColumn id="9" name="职业缘起与认知"/>
    <tableColumn id="10" name="行业与专业匹配的宏观分析"/>
    <tableColumn id="11" name="总体评语"/>
    <tableColumn id="12" name="目标总分"/>
  </tableColumns>
  <tableStyleInfo name="TableStyleMedium9" showFirstColumn="0" showLastColumn="0" showRowStripes="1" showColumnStripes="0"/>
</table>
</file>

<file path=xl/tables/table2.xml><?xml version="1.0" encoding="utf-8"?>
<table xmlns="http://schemas.openxmlformats.org/spreadsheetml/2006/main" id="2" name="OverviewTbl" displayName="OverviewTbl" ref="A1:M39" headerRowCount="1">
  <autoFilter ref="A1:M39"/>
  <tableColumns count="13">
    <tableColumn id="1" name="状态"/>
    <tableColumn id="2" name="最终分"/>
    <tableColumn id="3" name="姓名"/>
    <tableColumn id="4" name="学号"/>
    <tableColumn id="5" name="文件名"/>
    <tableColumn id="6" name="成功模型数"/>
    <tableColumn id="7" name="失败模型数"/>
    <tableColumn id="8" name="模型通过率"/>
    <tableColumn id="9" name="总体评语"/>
    <tableColumn id="10" name="错误描述"/>
    <tableColumn id="11" name="聚合算法"/>
    <tableColumn id="12" name="查看模型"/>
    <tableColumn id="13" name="查看细则"/>
  </tableColumns>
  <tableStyleInfo name="TableStyleMedium9" showFirstColumn="0" showLastColumn="0" showRowStripes="1" showColumnStripes="0"/>
</table>
</file>

<file path=xl/tables/table3.xml><?xml version="1.0" encoding="utf-8"?>
<table xmlns="http://schemas.openxmlformats.org/spreadsheetml/2006/main" id="3" name="ModelWide" displayName="ModelWide" ref="A1:L39" headerRowCount="1">
  <autoFilter ref="A1:L39"/>
  <tableColumns count="12">
    <tableColumn id="1" name="学号"/>
    <tableColumn id="2" name="姓名"/>
    <tableColumn id="3" name="文件名"/>
    <tableColumn id="4" name="主模型-状态"/>
    <tableColumn id="5" name="主模型-分数"/>
    <tableColumn id="6" name="主模型-耗时(ms)"/>
    <tableColumn id="7" name="主模型-评语"/>
    <tableColumn id="8" name="副模型A-状态"/>
    <tableColumn id="9" name="副模型A-分数"/>
    <tableColumn id="10" name="副模型A-耗时(ms)"/>
    <tableColumn id="11" name="副模型A-评语"/>
    <tableColumn id="12" name="总体评语"/>
  </tableColumns>
  <tableStyleInfo name="TableStyleMedium9" showFirstColumn="0" showLastColumn="0" showRowStripes="1" showColumnStripes="0"/>
</table>
</file>

<file path=xl/tables/table4.xml><?xml version="1.0" encoding="utf-8"?>
<table xmlns="http://schemas.openxmlformats.org/spreadsheetml/2006/main" id="4" name="DimSummary" displayName="DimSummary" ref="A1:J39" headerRowCount="1">
  <autoFilter ref="A1:J39"/>
  <tableColumns count="10">
    <tableColumn id="1" name="学号"/>
    <tableColumn id="2" name="姓名"/>
    <tableColumn id="3" name="最终分"/>
    <tableColumn id="4" name="AI 对行业影响的辩证分析"/>
    <tableColumn id="5" name="动态调整与风险应对"/>
    <tableColumn id="6" name="岗位认知与个人职业定位"/>
    <tableColumn id="7" name="报告结构与表达规范"/>
    <tableColumn id="8" name="职业目标与能力基础"/>
    <tableColumn id="9" name="职业缘起与认知"/>
    <tableColumn id="10" name="行业与专业匹配的宏观分析"/>
  </tableColumns>
  <tableStyleInfo name="TableStyleMedium9" showFirstColumn="0" showLastColumn="0" showRowStripes="1" showColumnStripes="0"/>
</table>
</file>

<file path=xl/tables/table5.xml><?xml version="1.0" encoding="utf-8"?>
<table xmlns="http://schemas.openxmlformats.org/spreadsheetml/2006/main" id="5" name="RubricDetail" displayName="RubricDetail" ref="A1:I279" headerRowCount="1">
  <autoFilter ref="A1:I279"/>
  <tableColumns count="9">
    <tableColumn id="1" name="学号"/>
    <tableColumn id="2" name="姓名"/>
    <tableColumn id="3" name="维度"/>
    <tableColumn id="4" name="细则项"/>
    <tableColumn id="5" name="该项总分"/>
    <tableColumn id="6" name="得分"/>
    <tableColumn id="7" name="扣分"/>
    <tableColumn id="8" name="原因说明"/>
    <tableColumn id="9" name="改进建议"/>
  </tableColumns>
  <tableStyleInfo name="TableStyleMedium9" showFirstColumn="0" showLastColumn="0" showRowStripes="1" showColumnStripes="0"/>
</table>
</file>

<file path=xl/tables/table6.xml><?xml version="1.0" encoding="utf-8"?>
<table xmlns="http://schemas.openxmlformats.org/spreadsheetml/2006/main" id="6" name="BatchSummary" displayName="BatchSummary" ref="A1:B13" headerRowCount="1">
  <autoFilter ref="A1:B13"/>
  <tableColumns count="2">
    <tableColumn id="1" name="字段"/>
    <tableColumn id="2" name="值"/>
  </tableColumns>
  <tableStyleInfo name="TableStyleMedium9" showFirstColumn="0" showLastColumn="0" showRowStripes="1" showColumnStripes="0"/>
</table>
</file>

<file path=xl/tables/table7.xml><?xml version="1.0" encoding="utf-8"?>
<table xmlns="http://schemas.openxmlformats.org/spreadsheetml/2006/main" id="7" name="ErrStats" displayName="ErrStats" ref="A1:C2" headerRowCount="1">
  <autoFilter ref="A1:C2"/>
  <tableColumns count="3">
    <tableColumn id="1" name="错误类型"/>
    <tableColumn id="2" name="数量"/>
    <tableColumn id="3" name="占比"/>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L38"/>
  <sheetViews>
    <sheetView showGridLines="0" zoomScale="110" workbookViewId="0">
      <selection activeCell="A1" sqref="A1"/>
    </sheetView>
  </sheetViews>
  <sheetFormatPr baseColWidth="8" defaultRowHeight="15"/>
  <cols>
    <col width="2" customWidth="1" min="1" max="1"/>
    <col width="18" customWidth="1" min="2" max="2"/>
    <col width="18" customWidth="1" min="3" max="3"/>
    <col width="2" customWidth="1" min="4" max="4"/>
    <col width="18" customWidth="1" min="5" max="5"/>
    <col width="18" customWidth="1" min="6" max="6"/>
    <col width="2" customWidth="1" min="7" max="7"/>
    <col width="18" customWidth="1" min="8" max="8"/>
    <col width="18" customWidth="1" min="9" max="9"/>
    <col width="18" customWidth="1" min="10" max="10"/>
    <col width="18" customWidth="1" min="11" max="11"/>
    <col width="2" customWidth="1" min="12" max="12"/>
  </cols>
  <sheetData>
    <row r="1" ht="34" customHeight="1">
      <c r="A1" s="1" t="inlineStr">
        <is>
          <t>作业批改结果 · batch-20260107-165422-usflhp</t>
        </is>
      </c>
    </row>
    <row r="3" ht="20" customHeight="1">
      <c r="A3" s="2" t="inlineStr">
        <is>
          <t>生成时间：2026-01-07 17:25   |   总提交：38   |   成功率：73.7%</t>
        </is>
      </c>
    </row>
    <row r="5">
      <c r="B5" s="3" t="n">
        <v>38</v>
      </c>
      <c r="C5" s="4" t="n"/>
      <c r="E5" s="3" t="inlineStr">
        <is>
          <t>28 / 10</t>
        </is>
      </c>
      <c r="F5" s="4" t="n"/>
      <c r="H5" s="3" t="n">
        <v>51.6</v>
      </c>
      <c r="I5" s="4" t="n"/>
      <c r="J5" s="4" t="n"/>
      <c r="K5" s="4" t="n"/>
    </row>
    <row r="6">
      <c r="B6" s="4" t="n"/>
      <c r="C6" s="4" t="n"/>
      <c r="E6" s="5" t="inlineStr">
        <is>
          <t>成功率 73.7%</t>
        </is>
      </c>
      <c r="F6" s="4" t="n"/>
      <c r="H6" s="5" t="inlineStr">
        <is>
          <t>中位数 47.9</t>
        </is>
      </c>
      <c r="I6" s="4" t="n"/>
      <c r="J6" s="4" t="n"/>
      <c r="K6" s="4" t="n"/>
    </row>
    <row r="7">
      <c r="B7" s="4" t="n"/>
      <c r="C7" s="4" t="n"/>
      <c r="E7" s="4" t="n"/>
      <c r="F7" s="4" t="n"/>
      <c r="H7" s="4" t="n"/>
      <c r="I7" s="4" t="n"/>
      <c r="J7" s="4" t="n"/>
      <c r="K7" s="4" t="n"/>
    </row>
    <row r="9">
      <c r="B9" s="6" t="n">
        <v>89.59999999999999</v>
      </c>
      <c r="C9" s="4" t="n"/>
      <c r="E9" s="6" t="inlineStr">
        <is>
          <t>5.1 / 95.2</t>
        </is>
      </c>
      <c r="F9" s="4" t="n"/>
      <c r="H9" s="7" t="n">
        <v>0</v>
      </c>
      <c r="I9" s="4" t="n"/>
      <c r="J9" s="4" t="n"/>
      <c r="K9" s="4" t="n"/>
    </row>
    <row r="10">
      <c r="B10" s="4" t="n"/>
      <c r="C10" s="4" t="n"/>
      <c r="E10" s="4" t="n"/>
      <c r="F10" s="4" t="n"/>
      <c r="H10" s="5" t="inlineStr">
        <is>
          <t>主模型 0 | 副模型 0</t>
        </is>
      </c>
      <c r="I10" s="4" t="n"/>
      <c r="J10" s="4" t="n"/>
      <c r="K10" s="4" t="n"/>
    </row>
    <row r="12">
      <c r="B12" s="8" t="inlineStr">
        <is>
          <t>状态分布</t>
        </is>
      </c>
      <c r="E12" s="8" t="inlineStr">
        <is>
          <t>分数分布</t>
        </is>
      </c>
      <c r="H12" s="8" t="inlineStr">
        <is>
          <t>维度均分</t>
        </is>
      </c>
    </row>
    <row r="27">
      <c r="B27" s="8" t="inlineStr">
        <is>
          <t>低分 Top10</t>
        </is>
      </c>
    </row>
    <row r="28">
      <c r="B28" s="9" t="inlineStr">
        <is>
          <t>文件名</t>
        </is>
      </c>
      <c r="C28" s="9" t="inlineStr">
        <is>
          <t>学号</t>
        </is>
      </c>
      <c r="D28" s="9" t="inlineStr">
        <is>
          <t>姓名</t>
        </is>
      </c>
      <c r="E28" s="9" t="inlineStr">
        <is>
          <t>最终分</t>
        </is>
      </c>
    </row>
    <row r="29">
      <c r="B29" s="10" t="inlineStr">
        <is>
          <t>5-25物联网工程1班罗洋202502210148职业规划书.docx</t>
        </is>
      </c>
      <c r="C29" s="10" t="inlineStr">
        <is>
          <t>202502210148</t>
        </is>
      </c>
      <c r="D29" s="10" t="inlineStr">
        <is>
          <t>罗洋</t>
        </is>
      </c>
      <c r="E29" s="10" t="n">
        <v>5.08</v>
      </c>
    </row>
    <row r="30">
      <c r="B30" s="10" t="inlineStr">
        <is>
          <t>31-25物联网工程1班+张景沅+202502210155+职业规划书.docx</t>
        </is>
      </c>
      <c r="C30" s="10" t="inlineStr">
        <is>
          <t>202502210155</t>
        </is>
      </c>
      <c r="D30" s="10" t="inlineStr">
        <is>
          <t>张景沅</t>
        </is>
      </c>
      <c r="E30" s="10" t="n">
        <v>14.23</v>
      </c>
    </row>
    <row r="31">
      <c r="B31" s="10" t="inlineStr">
        <is>
          <t>25-25物联网工程1班伍峙崧202302051618职业规划书.docx</t>
        </is>
      </c>
      <c r="C31" s="10" t="inlineStr">
        <is>
          <t>202302051618</t>
        </is>
      </c>
      <c r="D31" s="10" t="inlineStr">
        <is>
          <t>伍峙崧</t>
        </is>
      </c>
      <c r="E31" s="10" t="n">
        <v>20.73</v>
      </c>
    </row>
    <row r="32">
      <c r="B32" s="10" t="inlineStr">
        <is>
          <t>20-25物联网工程1班+薛慧珊+20250221099+职业规划书.docx</t>
        </is>
      </c>
      <c r="C32" s="10" t="inlineStr">
        <is>
          <t>20250221099</t>
        </is>
      </c>
      <c r="D32" s="10" t="inlineStr">
        <is>
          <t>薛慧珊</t>
        </is>
      </c>
      <c r="E32" s="10" t="n">
        <v>22.36</v>
      </c>
    </row>
    <row r="33">
      <c r="B33" s="10" t="inlineStr">
        <is>
          <t>16-物联网工程1班李金瀚202502210073职业规划书.docx</t>
        </is>
      </c>
      <c r="C33" s="10" t="inlineStr">
        <is>
          <t>202502210073</t>
        </is>
      </c>
      <c r="D33" s="10" t="inlineStr">
        <is>
          <t>物联网工程李金瀚</t>
        </is>
      </c>
      <c r="E33" s="10" t="n">
        <v>23.17</v>
      </c>
    </row>
    <row r="34">
      <c r="B34" s="10" t="inlineStr">
        <is>
          <t>28-25物联网工程1班左松铭202502210171+职业规划书.docx</t>
        </is>
      </c>
      <c r="C34" s="10" t="inlineStr">
        <is>
          <t>202502210171</t>
        </is>
      </c>
      <c r="D34" s="10" t="inlineStr">
        <is>
          <t>左松铭</t>
        </is>
      </c>
      <c r="E34" s="10" t="n">
        <v>23.98</v>
      </c>
    </row>
    <row r="35">
      <c r="B35" s="10" t="inlineStr">
        <is>
          <t>17-2025物联网工程一班李锐佳职业规划书.docx</t>
        </is>
      </c>
      <c r="C35" s="10" t="n"/>
      <c r="D35" s="10" t="n"/>
      <c r="E35" s="10" t="n">
        <v>25.61</v>
      </c>
    </row>
    <row r="36">
      <c r="B36" s="10" t="inlineStr">
        <is>
          <t>15-25物联网工程1班叶威佳202502210216职业规划书.docx</t>
        </is>
      </c>
      <c r="C36" s="10" t="inlineStr">
        <is>
          <t>202502210216</t>
        </is>
      </c>
      <c r="D36" s="10" t="inlineStr">
        <is>
          <t>叶威佳</t>
        </is>
      </c>
      <c r="E36" s="10" t="n">
        <v>26.83</v>
      </c>
    </row>
    <row r="37">
      <c r="B37" s="10" t="inlineStr">
        <is>
          <t>13-25物联网工程1班刘辉龙202502210110职业规划书.docx</t>
        </is>
      </c>
      <c r="C37" s="10" t="inlineStr">
        <is>
          <t>202502210110</t>
        </is>
      </c>
      <c r="D37" s="10" t="inlineStr">
        <is>
          <t>刘辉龙</t>
        </is>
      </c>
      <c r="E37" s="10" t="n">
        <v>27.24</v>
      </c>
    </row>
    <row r="38">
      <c r="B38" s="10" t="inlineStr">
        <is>
          <t>9-25物联网工程1班何荣林202502210127专业职业规划书.docx</t>
        </is>
      </c>
      <c r="C38" s="10" t="inlineStr">
        <is>
          <t>202502210127</t>
        </is>
      </c>
      <c r="D38" s="10" t="inlineStr">
        <is>
          <t>何荣林</t>
        </is>
      </c>
      <c r="E38" s="10" t="n">
        <v>30.9</v>
      </c>
    </row>
  </sheetData>
  <mergeCells count="17">
    <mergeCell ref="B6:C6"/>
    <mergeCell ref="E6:F6"/>
    <mergeCell ref="B7:C7"/>
    <mergeCell ref="H9:K9"/>
    <mergeCell ref="E7:F7"/>
    <mergeCell ref="E10:F10"/>
    <mergeCell ref="B5:C5"/>
    <mergeCell ref="A1:L1"/>
    <mergeCell ref="B10:C10"/>
    <mergeCell ref="E5:F5"/>
    <mergeCell ref="H6:K6"/>
    <mergeCell ref="H7:K7"/>
    <mergeCell ref="B9:C9"/>
    <mergeCell ref="A3:L3"/>
    <mergeCell ref="E9:F9"/>
    <mergeCell ref="H10:K10"/>
    <mergeCell ref="H5:K5"/>
  </mergeCells>
  <conditionalFormatting sqref="B29:E38">
    <cfRule type="expression" priority="1" dxfId="0">
      <formula>MOD(ROW(),2)=0</formula>
    </cfRule>
  </conditionalFormatting>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19"/>
  <sheetViews>
    <sheetView showGridLines="0" zoomScale="100" workbookViewId="0">
      <selection activeCell="A1" sqref="A1"/>
    </sheetView>
  </sheetViews>
  <sheetFormatPr baseColWidth="8" defaultRowHeight="15"/>
  <sheetData>
    <row r="1">
      <c r="A1" s="11" t="inlineStr">
        <is>
          <t>状态</t>
        </is>
      </c>
      <c r="B1" s="11" t="inlineStr">
        <is>
          <t>数量</t>
        </is>
      </c>
      <c r="D1" s="11" t="inlineStr">
        <is>
          <t>维度</t>
        </is>
      </c>
      <c r="E1" s="11" t="inlineStr">
        <is>
          <t>均分</t>
        </is>
      </c>
    </row>
    <row r="2">
      <c r="A2" t="inlineStr">
        <is>
          <t>成功</t>
        </is>
      </c>
      <c r="B2" t="n">
        <v>28</v>
      </c>
      <c r="D2" t="inlineStr">
        <is>
          <t>行业与专业匹配的宏观分析</t>
        </is>
      </c>
      <c r="E2" t="n">
        <v>27.9</v>
      </c>
    </row>
    <row r="3">
      <c r="A3" t="inlineStr">
        <is>
          <t>失败</t>
        </is>
      </c>
      <c r="B3" t="n">
        <v>10</v>
      </c>
      <c r="D3" t="inlineStr">
        <is>
          <t>AI 对行业影响的辩证分析</t>
        </is>
      </c>
      <c r="E3" t="n">
        <v>24</v>
      </c>
    </row>
    <row r="4">
      <c r="D4" t="inlineStr">
        <is>
          <t>职业目标与能力基础</t>
        </is>
      </c>
      <c r="E4" t="n">
        <v>22.5</v>
      </c>
    </row>
    <row r="5">
      <c r="A5" s="11" t="inlineStr">
        <is>
          <t>分数段</t>
        </is>
      </c>
      <c r="B5" s="11" t="inlineStr">
        <is>
          <t>人数</t>
        </is>
      </c>
      <c r="D5" t="inlineStr">
        <is>
          <t>职业缘起与认知</t>
        </is>
      </c>
      <c r="E5" t="n">
        <v>18.7</v>
      </c>
    </row>
    <row r="6">
      <c r="A6" t="inlineStr">
        <is>
          <t>00-09</t>
        </is>
      </c>
      <c r="B6" t="n">
        <v>1</v>
      </c>
      <c r="D6" t="inlineStr">
        <is>
          <t>岗位认知与个人职业定位</t>
        </is>
      </c>
      <c r="E6" t="n">
        <v>18.6</v>
      </c>
    </row>
    <row r="7">
      <c r="A7" t="inlineStr">
        <is>
          <t>10-19</t>
        </is>
      </c>
      <c r="B7" t="n">
        <v>1</v>
      </c>
      <c r="D7" t="inlineStr">
        <is>
          <t>报告结构与表达规范</t>
        </is>
      </c>
      <c r="E7" t="n">
        <v>8</v>
      </c>
    </row>
    <row r="8">
      <c r="A8" t="inlineStr">
        <is>
          <t>20-29</t>
        </is>
      </c>
      <c r="B8" t="n">
        <v>7</v>
      </c>
      <c r="D8" t="inlineStr">
        <is>
          <t>动态调整与风险应对</t>
        </is>
      </c>
      <c r="E8" t="n">
        <v>3.8</v>
      </c>
    </row>
    <row r="9">
      <c r="A9" t="inlineStr">
        <is>
          <t>30-39</t>
        </is>
      </c>
      <c r="B9" t="n">
        <v>3</v>
      </c>
      <c r="D9" t="inlineStr"/>
      <c r="E9" t="inlineStr"/>
    </row>
    <row r="10">
      <c r="A10" t="inlineStr">
        <is>
          <t>40-49</t>
        </is>
      </c>
      <c r="B10" t="n">
        <v>3</v>
      </c>
      <c r="D10" t="inlineStr"/>
      <c r="E10" t="inlineStr"/>
    </row>
    <row r="11">
      <c r="A11" t="inlineStr">
        <is>
          <t>50-59</t>
        </is>
      </c>
      <c r="B11" t="n">
        <v>3</v>
      </c>
      <c r="D11" t="inlineStr"/>
      <c r="E11" t="inlineStr"/>
    </row>
    <row r="12">
      <c r="A12" t="inlineStr">
        <is>
          <t>60-69</t>
        </is>
      </c>
      <c r="B12" t="n">
        <v>1</v>
      </c>
      <c r="D12" t="inlineStr"/>
      <c r="E12" t="inlineStr"/>
    </row>
    <row r="13">
      <c r="A13" t="inlineStr">
        <is>
          <t>70-79</t>
        </is>
      </c>
      <c r="B13" t="n">
        <v>1</v>
      </c>
      <c r="D13" t="inlineStr"/>
      <c r="E13" t="inlineStr"/>
    </row>
    <row r="14">
      <c r="A14" t="inlineStr">
        <is>
          <t>80-89</t>
        </is>
      </c>
      <c r="B14" t="n">
        <v>6</v>
      </c>
      <c r="D14" t="inlineStr"/>
      <c r="E14" t="inlineStr"/>
    </row>
    <row r="15">
      <c r="A15" t="inlineStr">
        <is>
          <t>90-99</t>
        </is>
      </c>
      <c r="B15" t="n">
        <v>2</v>
      </c>
      <c r="D15" t="inlineStr"/>
      <c r="E15" t="inlineStr"/>
    </row>
    <row r="16">
      <c r="D16" t="inlineStr"/>
      <c r="E16" t="inlineStr"/>
    </row>
    <row r="17">
      <c r="D17" t="inlineStr"/>
      <c r="E17" t="inlineStr"/>
    </row>
    <row r="18">
      <c r="D18" t="inlineStr"/>
      <c r="E18" t="inlineStr"/>
    </row>
    <row r="19">
      <c r="D19" t="inlineStr"/>
      <c r="E19" t="inlineStr"/>
    </row>
  </sheetData>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L39"/>
  <sheetViews>
    <sheetView showGridLines="0" zoomScale="110" workbookViewId="0">
      <pane ySplit="1" topLeftCell="A2" activePane="bottomLeft" state="frozen"/>
      <selection pane="bottomLeft" activeCell="A1" sqref="A1"/>
    </sheetView>
  </sheetViews>
  <sheetFormatPr baseColWidth="8" defaultRowHeight="15"/>
  <cols>
    <col width="17.6" customWidth="1" min="1" max="1"/>
    <col width="11.6" customWidth="1" min="2" max="2"/>
    <col width="10" customWidth="1" min="3" max="3"/>
    <col width="12" customWidth="1" min="4" max="4"/>
    <col width="12" customWidth="1" min="5" max="5"/>
    <col width="12" customWidth="1" min="6" max="6"/>
    <col width="12" customWidth="1" min="7" max="7"/>
    <col width="12" customWidth="1" min="8" max="8"/>
    <col width="10.4" customWidth="1" min="9" max="9"/>
    <col width="12" customWidth="1" min="10" max="10"/>
    <col width="44" customWidth="1" min="11" max="11"/>
    <col width="10" customWidth="1" min="12" max="12"/>
  </cols>
  <sheetData>
    <row r="1" ht="24" customHeight="1">
      <c r="A1" s="12" t="inlineStr">
        <is>
          <t>学号</t>
        </is>
      </c>
      <c r="B1" s="12" t="inlineStr">
        <is>
          <t>姓名</t>
        </is>
      </c>
      <c r="C1" s="12" t="inlineStr">
        <is>
          <t>当前分数</t>
        </is>
      </c>
      <c r="D1" s="12" t="inlineStr">
        <is>
          <t>AI 对行业影响的辩证分析</t>
        </is>
      </c>
      <c r="E1" s="12" t="inlineStr">
        <is>
          <t>动态调整与风险应对</t>
        </is>
      </c>
      <c r="F1" s="12" t="inlineStr">
        <is>
          <t>岗位认知与个人职业定位</t>
        </is>
      </c>
      <c r="G1" s="12" t="inlineStr">
        <is>
          <t>报告结构与表达规范</t>
        </is>
      </c>
      <c r="H1" s="12" t="inlineStr">
        <is>
          <t>职业目标与能力基础</t>
        </is>
      </c>
      <c r="I1" s="12" t="inlineStr">
        <is>
          <t>职业缘起与认知</t>
        </is>
      </c>
      <c r="J1" s="12" t="inlineStr">
        <is>
          <t>行业与专业匹配的宏观分析</t>
        </is>
      </c>
      <c r="K1" s="12" t="inlineStr">
        <is>
          <t>总体评语</t>
        </is>
      </c>
      <c r="L1" s="12" t="inlineStr">
        <is>
          <t>目标总分</t>
        </is>
      </c>
    </row>
    <row r="2">
      <c r="A2" s="13" t="inlineStr">
        <is>
          <t>20250220105</t>
        </is>
      </c>
      <c r="B2" s="13" t="inlineStr">
        <is>
          <t>物联网工程梁欣然</t>
        </is>
      </c>
      <c r="C2" s="14" t="n">
        <v>43.3</v>
      </c>
      <c r="D2" s="13" t="n"/>
      <c r="E2" s="14" t="n">
        <v>5</v>
      </c>
      <c r="F2" s="13" t="n"/>
      <c r="G2" s="13" t="n"/>
      <c r="H2" s="14" t="n">
        <v>31</v>
      </c>
      <c r="I2" s="14" t="n">
        <v>17.25</v>
      </c>
      <c r="J2" s="13" t="n"/>
      <c r="K2" s="10" t="inlineStr">
        <is>
          <t>本次职业生涯规划书作业展现了良好的结构意识和逻辑组织能力。自我探索部分能结合性格测试等工具进行深入分析，外部分析也注意到了政策与行业等宏观依据，职业目标较为明确，路径规划也具备一定的具体性。然而，作业在内容完整性与深度上仍有明显不足。部分关键评分细则的内容存在缺失或过于笼统，例如职业选择的深层缘起、对目标行业的认知深度、支撑目标的具体能力分析以及风险应对的具体策略等方面均显薄弱，这直接影响了作业的整体质量。建议你对照作业要求的具体评分点，逐一核查并补充缺失内容，尤其在行业认知和可行性分析部分，应结合更具体的市场数据、岗位能力模型进行深化，使规划更具说服力和可操作性。</t>
        </is>
      </c>
      <c r="L2" s="14" t="n">
        <v>100</v>
      </c>
    </row>
    <row r="3">
      <c r="A3" s="13" t="inlineStr">
        <is>
          <t>20250221099</t>
        </is>
      </c>
      <c r="B3" s="13" t="inlineStr">
        <is>
          <t>薛慧珊</t>
        </is>
      </c>
      <c r="C3" s="14" t="n">
        <v>22.36</v>
      </c>
      <c r="D3" s="13" t="n"/>
      <c r="E3" s="14" t="n">
        <v>0</v>
      </c>
      <c r="F3" s="13" t="n"/>
      <c r="G3" s="13" t="n"/>
      <c r="H3" s="14" t="n">
        <v>14</v>
      </c>
      <c r="I3" s="14" t="n">
        <v>13.5</v>
      </c>
      <c r="J3" s="13" t="n"/>
      <c r="K3" s="10" t="inlineStr">
        <is>
          <t>本次职业规划作业在结构框架上基本完整，职业目标与行业选择较为明确，自我认知部分也进行了初步梳理，这是值得肯定的基础。然而，作业存在明显的不足：内容普遍流于表面，对职业的认知深度不足，多个关键部分如能力匹配分析、成长路径设计以及风险评估等，或阐述简略，或完全缺失，导致规划的可操作性与说服力不强。建议你后续重点补充对目标岗位所需核心能力的详细调研，并结合自身现状制定具体、分阶段的提升计划；同时，务必增加对潜在风险的评估与应对策略，使规划更具现实指导意义。</t>
        </is>
      </c>
      <c r="L3" s="14" t="n">
        <v>100</v>
      </c>
    </row>
    <row r="4">
      <c r="A4" s="13" t="inlineStr">
        <is>
          <t>202302051618</t>
        </is>
      </c>
      <c r="B4" s="13" t="inlineStr">
        <is>
          <t>伍峙崧</t>
        </is>
      </c>
      <c r="C4" s="14" t="n">
        <v>20.73</v>
      </c>
      <c r="D4" s="13" t="n"/>
      <c r="E4" s="14" t="n">
        <v>0</v>
      </c>
      <c r="F4" s="13" t="n"/>
      <c r="G4" s="13" t="n"/>
      <c r="H4" s="14" t="n">
        <v>13</v>
      </c>
      <c r="I4" s="14" t="n">
        <v>12.5</v>
      </c>
      <c r="J4" s="13" t="n"/>
      <c r="K4" s="10" t="inlineStr">
        <is>
          <t>本次提交的职业规划书在结构框架上基本完整，能够按照常见模块进行组织，这是值得肯定的基础。然而，作业内容存在明显的共性问题：论述普遍流于表面，缺乏深入的自我剖析和扎实的行业研究。具体而言，职业缘起部分过于简略，未能充分展现个人动机；自我认知与能力分析部分，虽有列举但未能有效论证其与目标职业的匹配度；成长路径和风险应对的设想则较为笼统，可操作性与现实考量不足。整体来看，规划书更像是一个初步提纲，离一份详实、可信、可执行的方案尚有较大距离。建议你后续着重从以下两方面改进：一是大量补充具体的个人经历事实、行业数据或案例作为论述支撑，增强说服力；二是加强各部分内容之间的逻辑连贯性，特别是自我能力与职业要求、阶段性目标与行动措施之间的内在联系，使规划成为一个有机整体。</t>
        </is>
      </c>
      <c r="L4" s="14" t="n">
        <v>100</v>
      </c>
    </row>
    <row r="5">
      <c r="A5" s="13" t="inlineStr">
        <is>
          <t>202502210073</t>
        </is>
      </c>
      <c r="B5" s="13" t="inlineStr">
        <is>
          <t>物联网工程李金瀚</t>
        </is>
      </c>
      <c r="C5" s="14" t="n">
        <v>23.17</v>
      </c>
      <c r="D5" s="13" t="n"/>
      <c r="E5" s="14" t="n">
        <v>0</v>
      </c>
      <c r="F5" s="13" t="n"/>
      <c r="G5" s="13" t="n"/>
      <c r="H5" s="14" t="n">
        <v>12</v>
      </c>
      <c r="I5" s="14" t="n">
        <v>16.5</v>
      </c>
      <c r="J5" s="13" t="n"/>
      <c r="K5" s="10" t="inlineStr">
        <is>
          <t>本次职业生涯规划作业在结构完整性方面表现尚可，基本框架已搭建。主要优点在于成长路径部分有较为详细的设想，显示出一定的规划意识。然而，作业存在明显不足：内容深度普遍欠缺，职业缘起叙述过于简单，自我认知部分表述矛盾且缺乏具体事例支撑，能力盘点偏向消极而未与职业目标建立有效关联，对行业与目标职业的认知几乎空白，风险应对部分完全缺失。整体来看，规划的逻辑性、具体性和可执行性均有待大幅提升。建议你：首先，深入调研意向行业与职业，补充具体的岗位认知；其次，基于客观事实（如经历、技能）重新进行自我评估，建立优势、短板与目标之间的逻辑链条；最后，务必补充风险评估与应对策略，使规划更为周全。</t>
        </is>
      </c>
      <c r="L5" s="14" t="n">
        <v>100</v>
      </c>
    </row>
    <row r="6">
      <c r="A6" s="13" t="inlineStr">
        <is>
          <t>202502210078</t>
        </is>
      </c>
      <c r="B6" s="13" t="inlineStr">
        <is>
          <t>赵晓彤</t>
        </is>
      </c>
      <c r="C6" s="14" t="n">
        <v>46.34</v>
      </c>
      <c r="D6" s="13" t="n"/>
      <c r="E6" s="14" t="n">
        <v>1.5</v>
      </c>
      <c r="F6" s="13" t="n"/>
      <c r="G6" s="13" t="n"/>
      <c r="H6" s="14" t="n">
        <v>30.5</v>
      </c>
      <c r="I6" s="14" t="n">
        <v>25</v>
      </c>
      <c r="J6" s="13" t="n"/>
      <c r="K6" s="10" t="inlineStr">
        <is>
          <t>本次职业规划作业展现了较好的结构完整性，职业目标设定明确，对目标行业与岗位具备基础认知，这是值得肯定的优点。然而，作业在深度与细节上存在明显不足：职业缘起的叙述较为空泛，缺乏具体事例或信息来源支撑；自我特征分析未能与职业测试结论形成有效关联，导致个人能力与目标岗位的匹配性论证薄弱；更为关键的是，风险评估与备选方案部分完全缺失，成长路径中的短期目标也不够具体，这严重影响了规划的逻辑严谨性与前瞻性。建议你后续补充具体案例来充实职业选择缘由，强化自我盘点与职业目标的逻辑链条，并务必系统性地增补风险评估及应对策略，使规划更具实操价值。</t>
        </is>
      </c>
      <c r="L6" s="14" t="n">
        <v>100</v>
      </c>
    </row>
    <row r="7">
      <c r="A7" s="13" t="inlineStr">
        <is>
          <t>202502210088</t>
        </is>
      </c>
      <c r="B7" s="13" t="inlineStr">
        <is>
          <t>物联网工程</t>
        </is>
      </c>
      <c r="C7" s="14" t="n">
        <v>72</v>
      </c>
      <c r="D7" s="14" t="n">
        <v>24</v>
      </c>
      <c r="E7" s="13" t="n"/>
      <c r="F7" s="14" t="n">
        <v>13.5</v>
      </c>
      <c r="G7" s="14" t="n">
        <v>7.5</v>
      </c>
      <c r="H7" s="13" t="n"/>
      <c r="I7" s="13" t="n"/>
      <c r="J7" s="14" t="n">
        <v>27</v>
      </c>
      <c r="K7" s="10" t="inlineStr">
        <is>
          <t>本次作业提交了一份关于物联网行业的分析报告，整体结构完整，逻辑框架清晰。优点在于对行业现状进行了较为深入的剖析，能够结合具体数据展开论述，对人工智能影响的讨论也体现了辩证思考的能力，显示出你具备一定的专业认知和分析基础。不足之处在于，行业趋势判断的证据链尚不够严密，部分论述缺乏强有力的数据或案例支撑；对潜在风险的分析和缓解建议稍显笼统，未能提出更具操作性的方案；薪资与发展预期的分析也略显单薄。建议后续在趋势论证时强化逻辑链条的衔接，增加对行业报告、学术文献等权威资料的引用以增强说服力；针对风险部分，可尝试结合具体企业案例提出分步骤的应对策略；同时，对岗位薪资的预期应建立在更广泛的市场调研数据基础上，使结论更为扎实可信。</t>
        </is>
      </c>
      <c r="L7" s="14" t="n">
        <v>100</v>
      </c>
    </row>
    <row r="8">
      <c r="A8" s="13" t="inlineStr">
        <is>
          <t>202502210094</t>
        </is>
      </c>
      <c r="B8" s="13" t="inlineStr">
        <is>
          <t>李泽宇</t>
        </is>
      </c>
      <c r="C8" s="14" t="n">
        <v>65.5</v>
      </c>
      <c r="D8" s="14" t="n">
        <v>21</v>
      </c>
      <c r="E8" s="13" t="n"/>
      <c r="F8" s="14" t="n">
        <v>17.5</v>
      </c>
      <c r="G8" s="14" t="n">
        <v>6</v>
      </c>
      <c r="H8" s="13" t="n"/>
      <c r="I8" s="13" t="n"/>
      <c r="J8" s="14" t="n">
        <v>21</v>
      </c>
      <c r="K8" s="10" t="inlineStr">
        <is>
          <t>本次作业展现了学生对物联网行业的宏观认识，能够结合专业背景进行分析，并对AI影响及个人职业规划进行了初步思考，整体结构较为完整。然而，报告在行业现状梳理上不够系统，缺乏对核心竞争格局、关键痛点与机会的深入剖析；在AI影响分析部分，正面影响的价值量化不足，对潜在风险的识别与缓解建议较为薄弱；职业认知方面，对目标岗位的具体职责、能力要求及个人成长路径的描述不够清晰和具体。此外，语言表达存在一定的口语化倾向，论证逻辑与细节支撑有待进一步加强。建议后续可补充权威行业数据来源，增强分析的客观性与说服力；针对AI的影响，应结合具体案例进行更细致的价值与风险评估；在职业规划部分，需更明确地论述岗位要求与自身技能、兴趣的匹配点。</t>
        </is>
      </c>
      <c r="L8" s="14" t="n">
        <v>100</v>
      </c>
    </row>
    <row r="9">
      <c r="A9" s="13" t="inlineStr">
        <is>
          <t>202502210096</t>
        </is>
      </c>
      <c r="B9" s="13" t="inlineStr">
        <is>
          <t>刘锐杨</t>
        </is>
      </c>
      <c r="C9" s="14" t="n">
        <v>49.5</v>
      </c>
      <c r="D9" s="14" t="n">
        <v>15.5</v>
      </c>
      <c r="E9" s="13" t="n"/>
      <c r="F9" s="14" t="n">
        <v>6</v>
      </c>
      <c r="G9" s="14" t="n">
        <v>4.5</v>
      </c>
      <c r="H9" s="13" t="n"/>
      <c r="I9" s="13" t="n"/>
      <c r="J9" s="14" t="n">
        <v>23.5</v>
      </c>
      <c r="K9" s="10" t="inlineStr">
        <is>
          <t>本次作业在报告框架和行业宏观把握方面展现出一定优势，结构清晰，对行业趋势及AI影响的辩证思考值得肯定。然而，作业存在明显不足，核心问题在于内容不完整，多处关键部分仅停留于大纲或标题，缺乏具体分析、数据支撑和深入论证，例如行业痛点、风险应对建议及个人职业匹配的细节阐述均显薄弱，导致整体论证深度不足、逻辑链条不够闭环。建议你后续着重补充具体案例、调研数据和详细分析，强化各部分的论证支撑，使报告内容更为充实、逻辑更为严谨。</t>
        </is>
      </c>
      <c r="L9" s="14" t="n">
        <v>100</v>
      </c>
    </row>
    <row r="10">
      <c r="A10" s="13" t="inlineStr">
        <is>
          <t>202502210109</t>
        </is>
      </c>
      <c r="B10" s="13" t="inlineStr">
        <is>
          <t>李昕锐</t>
        </is>
      </c>
      <c r="C10" s="14" t="n">
        <v>58</v>
      </c>
      <c r="D10" s="14" t="n">
        <v>19.5</v>
      </c>
      <c r="E10" s="13" t="n"/>
      <c r="F10" s="14" t="n">
        <v>12.5</v>
      </c>
      <c r="G10" s="14" t="n">
        <v>6</v>
      </c>
      <c r="H10" s="13" t="n"/>
      <c r="I10" s="13" t="n"/>
      <c r="J10" s="14" t="n">
        <v>20</v>
      </c>
      <c r="K10" s="10" t="inlineStr">
        <is>
          <t>本次作业对物联网行业的宏观认知较为清晰，专业理解也体现出一定的深度，特别是在分析AI对行业的影响时展现了辩证思考的能力，职业定位也结合了专业特点，这些都是值得肯定的优点。然而，作业也存在明显的不足之处：行业现状的梳理缺乏具体数据和可靠来源的支撑，使得论述的说服力不足；趋势分析的逻辑链条不够紧密，部分判断显得较为笼统；此外，报告在结构完整性和细节论证上仍有提升空间，例如岗位认知部分未能深入结合个人情况进行匹配分析。建议在今后的作业中，加强对行业数据的搜集与引用，构建更严谨的分析逻辑，并在论述中补充更多具体的细节和实例来支撑观点，使报告更加扎实、有深度。</t>
        </is>
      </c>
      <c r="L10" s="14" t="n">
        <v>100</v>
      </c>
    </row>
    <row r="11">
      <c r="A11" s="13" t="inlineStr">
        <is>
          <t>202502210110</t>
        </is>
      </c>
      <c r="B11" s="13" t="inlineStr">
        <is>
          <t>刘辉龙</t>
        </is>
      </c>
      <c r="C11" s="14" t="n">
        <v>27.24</v>
      </c>
      <c r="D11" s="13" t="n"/>
      <c r="E11" s="14" t="n">
        <v>0</v>
      </c>
      <c r="F11" s="13" t="n"/>
      <c r="G11" s="13" t="n"/>
      <c r="H11" s="14" t="n">
        <v>19.5</v>
      </c>
      <c r="I11" s="14" t="n">
        <v>14</v>
      </c>
      <c r="J11" s="13" t="n"/>
      <c r="K11" s="10" t="inlineStr">
        <is>
          <t>本次职业生涯规划作业展现了良好的框架意识，结构清晰，目标设定明确，能够尝试将个人特质与目标行业进行初步结合，这是值得肯定的基础。然而，作业的核心问题在于内容深度与详实度严重不足，多处关键部分，如职业选择的缘起、对行业与职业的深入认知、个人能力基础的剖析以及风险应对策略等，仅停留在概念或结论层面，缺乏具体、深入的论述和有力的支撑材料，导致整体分析显得空泛，规划的说服力与可执行性因此大打折扣。建议你后续重点围绕“如何实现”与“为何可行”这两个核心问题，对规划中的每一个环节进行细化，补充具体的事实依据、数据参考或分步行动计划，使你的职业蓝图更加丰满和扎实。</t>
        </is>
      </c>
      <c r="L11" s="14" t="n">
        <v>100</v>
      </c>
    </row>
    <row r="12">
      <c r="A12" s="13" t="inlineStr">
        <is>
          <t>202502210113</t>
        </is>
      </c>
      <c r="B12" s="13" t="inlineStr">
        <is>
          <t>刘宇轩</t>
        </is>
      </c>
      <c r="C12" s="14" t="n">
        <v>31.71</v>
      </c>
      <c r="D12" s="13" t="n"/>
      <c r="E12" s="14" t="n">
        <v>0</v>
      </c>
      <c r="F12" s="13" t="n"/>
      <c r="G12" s="13" t="n"/>
      <c r="H12" s="14" t="n">
        <v>17</v>
      </c>
      <c r="I12" s="14" t="n">
        <v>22</v>
      </c>
      <c r="J12" s="13" t="n"/>
      <c r="K12" s="10" t="inlineStr">
        <is>
          <t>本次职业规划作业在结构完整性方面表现尚可，基本框架已搭建。主要优点在于对个人能力进行了初步盘点，并对未来规划方向有所列举，显示出一定的思考。然而，作业存在明显不足：内容整体较为浅显，缺乏深度分析。具体而言，职业选择的缘起部分缺乏具体事例或数据支撑，说服力不强；自我认知与行业分析部分过于简略，未能深入剖析个人特质与职业要求的匹配度；最为突出的问题是能力提升计划与风险应对策略部分严重缺失或论证不足，导致整个规划的可执行性与弹性较弱。建议你后续能结合可靠的行业信息，深化对目标职业的认知；在能力盘点部分，尝试使用如SWOT分析等工具进行更系统的评估；并务必补充具体、分阶段的能力提升措施以及潜在风险的应对方案，使规划更具指导意义。</t>
        </is>
      </c>
      <c r="L12" s="14" t="n">
        <v>100</v>
      </c>
    </row>
    <row r="13">
      <c r="A13" s="13" t="inlineStr">
        <is>
          <t>202502210127</t>
        </is>
      </c>
      <c r="B13" s="13" t="inlineStr">
        <is>
          <t>何荣林</t>
        </is>
      </c>
      <c r="C13" s="14" t="n">
        <v>30.9</v>
      </c>
      <c r="D13" s="13" t="n"/>
      <c r="E13" s="14" t="n">
        <v>12</v>
      </c>
      <c r="F13" s="13" t="n"/>
      <c r="G13" s="13" t="n"/>
      <c r="H13" s="14" t="n">
        <v>18.5</v>
      </c>
      <c r="I13" s="14" t="n">
        <v>7.5</v>
      </c>
      <c r="J13" s="13" t="n"/>
      <c r="K13" s="10" t="inlineStr">
        <is>
          <t>本次职业生涯规划作业展现了良好的结构性与逻辑性，能够清晰阐述对物联网行业的宏观认识，并制定了分阶段的职业发展路径，目标明确，规划具体。然而，作业内容存在明显不足，主要问题在于过度依赖通用模板，缺乏个人真实经历、具体案例与数据的支撑，导致分析深度不足，内容显得空泛。建议你结合自身的学习实践、项目经验或实习见闻，对行业认知、技能要求进行更具体、个性化的阐述，并用量化指标或实际案例来充实各阶段规划，使方案更具说服力和可操作性。</t>
        </is>
      </c>
      <c r="L13" s="14" t="n">
        <v>100</v>
      </c>
    </row>
    <row r="14">
      <c r="A14" s="13" t="inlineStr">
        <is>
          <t>202502210128</t>
        </is>
      </c>
      <c r="B14" s="13" t="inlineStr">
        <is>
          <t>冯堃梅</t>
        </is>
      </c>
      <c r="C14" s="14" t="n">
        <v>87.75</v>
      </c>
      <c r="D14" s="14" t="n">
        <v>26</v>
      </c>
      <c r="E14" s="13" t="n"/>
      <c r="F14" s="14" t="n">
        <v>23</v>
      </c>
      <c r="G14" s="14" t="n">
        <v>7.75</v>
      </c>
      <c r="H14" s="13" t="n"/>
      <c r="I14" s="13" t="n"/>
      <c r="J14" s="14" t="n">
        <v>31</v>
      </c>
      <c r="K14" s="10" t="inlineStr">
        <is>
          <t>本次作业《物联网与网络工程行业分析报告》整体完成质量较高。优点在于报告结构清晰，逻辑性强，对两个目标行业的现状、趋势及AI影响均进行了较为详实的调研与分析，数据支撑较为充分，职业规划部分也较为具体。不足之处在于，部分分析内容的深度有待加强，例如对物联网行业潜在负面影响的探讨不够全面；同时，报告在语言表达上存在一定的重复现象，且正文字数略显不足，影响了论述的充分性。建议未来在确保内容全面的基础上，进一步深化关键议题的剖析，并注重语言的精炼与表达的准确性，以提升报告的整体深度与专业性。</t>
        </is>
      </c>
      <c r="L14" s="14" t="n">
        <v>100</v>
      </c>
    </row>
    <row r="15">
      <c r="A15" s="13" t="inlineStr">
        <is>
          <t>202502210147</t>
        </is>
      </c>
      <c r="B15" s="13" t="inlineStr">
        <is>
          <t>汤智健</t>
        </is>
      </c>
      <c r="C15" s="14" t="n">
        <v>92.25</v>
      </c>
      <c r="D15" s="14" t="n">
        <v>27.5</v>
      </c>
      <c r="E15" s="13" t="n"/>
      <c r="F15" s="14" t="n">
        <v>23.75</v>
      </c>
      <c r="G15" s="14" t="n">
        <v>9.5</v>
      </c>
      <c r="H15" s="13" t="n"/>
      <c r="I15" s="13" t="n"/>
      <c r="J15" s="14" t="n">
        <v>31.5</v>
      </c>
      <c r="K15" s="10" t="inlineStr">
        <is>
          <t>本次作业整体完成度较高，展现了良好的专业素养。优点在于报告结构完整、逻辑清晰，对物联网行业的分析较为深入，能够结合专业背景进行阐述，对人工智能影响的辩证思考也值得肯定。不足之处在于部分分析（如趋势预测、风险缓解）的深度和量化支撑仍有提升空间，语言表达上偶有冗余，使得论述的精准性稍显不足。建议后续可加强对关键论点的数据或案例佐证，使分析更具说服力；同时，在撰写时注意锤炼语言，力求简洁、准确。</t>
        </is>
      </c>
      <c r="L15" s="14" t="n">
        <v>100</v>
      </c>
    </row>
    <row r="16">
      <c r="A16" s="13" t="inlineStr">
        <is>
          <t>202502210148</t>
        </is>
      </c>
      <c r="B16" s="13" t="inlineStr">
        <is>
          <t>罗洋</t>
        </is>
      </c>
      <c r="C16" s="14" t="n">
        <v>5.08</v>
      </c>
      <c r="D16" s="13" t="n"/>
      <c r="E16" s="14" t="n">
        <v>0</v>
      </c>
      <c r="F16" s="13" t="n"/>
      <c r="G16" s="13" t="n"/>
      <c r="H16" s="14" t="n">
        <v>0.5</v>
      </c>
      <c r="I16" s="14" t="n">
        <v>5.75</v>
      </c>
      <c r="J16" s="13" t="n"/>
      <c r="K16" s="10" t="inlineStr">
        <is>
          <t>本次职业规划作业在行业与技术分析方面展现出一定的信息搜集与整理能力，体现出对宏观职业环境的关注。然而，作业存在明显不足：整体结构不完整，未能遵循职业规划书的基本框架，核心模块如个人职业缘起、深入的自我分析、具体的能力盘点、清晰的成长路径规划以及风险评估与应对策略均严重缺失或未涉及，导致规划内容缺乏个人针对性与可执行性，更像一份行业报告而非个人规划。建议你首先系统学习职业规划的标准框架，明确各模块要求；其次，务必补充详尽的自我认知部分，将个人兴趣、能力与职业目标紧密关联；最后，需制定具体、分阶段、可衡量的行动计划，并预设可能的风险与对策，使规划真正落地。</t>
        </is>
      </c>
      <c r="L16" s="14" t="n">
        <v>100</v>
      </c>
    </row>
    <row r="17">
      <c r="A17" s="13" t="inlineStr">
        <is>
          <t>202502210150</t>
        </is>
      </c>
      <c r="B17" s="13" t="inlineStr">
        <is>
          <t>杨天</t>
        </is>
      </c>
      <c r="C17" s="14" t="n">
        <v>35.37</v>
      </c>
      <c r="D17" s="13" t="n"/>
      <c r="E17" s="14" t="n">
        <v>4</v>
      </c>
      <c r="F17" s="13" t="n"/>
      <c r="G17" s="13" t="n"/>
      <c r="H17" s="14" t="n">
        <v>33.5</v>
      </c>
      <c r="I17" s="14" t="n">
        <v>6</v>
      </c>
      <c r="J17" s="13" t="n"/>
      <c r="K17" s="10" t="inlineStr">
        <is>
          <t>本次职业规划作业展现出一些值得肯定的优点。规划书整体结构清晰，职业目标设定明确，发展路径的设计也较为合理，体现了对个人能力与目标匹配性的初步思考。然而，作业存在明显的不足之处。核心问题在于内容深度与分析广度严重不足，特别是职业缘起、自我特征剖析、行业与职业认知以及风险评估等关键模块，或完全缺失，或阐述过于简略，未能体现深入的自我探索与前瞻性的外部环境分析。这使得规划书更像一份技术学习计划，而非一份完整的、有深度的职业规划。建议你后续重点补充并深化对个人职业选择内在动机（缘起）的挖掘，并系统性地进行自我认知（如性格、兴趣、价值观）与外部职业环境（如行业趋势、岗位要求）的分析，在此基础上完善风险评估与应对策略，从而提升规划的逻辑性与说服力。</t>
        </is>
      </c>
      <c r="L17" s="14" t="n">
        <v>100</v>
      </c>
    </row>
    <row r="18">
      <c r="A18" s="13" t="inlineStr">
        <is>
          <t>202502210155</t>
        </is>
      </c>
      <c r="B18" s="13" t="inlineStr">
        <is>
          <t>张景沅</t>
        </is>
      </c>
      <c r="C18" s="14" t="n">
        <v>14.23</v>
      </c>
      <c r="D18" s="13" t="n"/>
      <c r="E18" s="14" t="n">
        <v>0</v>
      </c>
      <c r="F18" s="13" t="n"/>
      <c r="G18" s="13" t="n"/>
      <c r="H18" s="14" t="n">
        <v>8</v>
      </c>
      <c r="I18" s="14" t="n">
        <v>9.5</v>
      </c>
      <c r="J18" s="13" t="n"/>
      <c r="K18" s="10" t="inlineStr">
        <is>
          <t>本次职业规划作业结构框架基本完整，但内容质量亟待提升。主要优点在于能够按照规划书的基本格式搭建框架，显示出对作业要求的初步理解。然而，不足之处非常明显：内容普遍空泛、严重缺乏深度和具体细节。例如，职业缘起部分叙述简略，自我认知与行业分析严重不足，能力盘点与目标岗位的匹配性论证薄弱，成长路径和风险应对计划几乎空白或过于笼统，导致整个规划的可执行性很差。建议你：第一，进行深入的自我剖析和扎实的行业调研，用具体事实和数据支撑你的认知与选择；第二，详细规划每一步的成长路径，包括具体的时间节点、要获取的技能或资格，并思考切实可行的风险应对策略。</t>
        </is>
      </c>
      <c r="L18" s="14" t="n">
        <v>100</v>
      </c>
    </row>
    <row r="19">
      <c r="A19" s="13" t="inlineStr">
        <is>
          <t>202502210160</t>
        </is>
      </c>
      <c r="B19" s="13" t="inlineStr">
        <is>
          <t>谢烁宇</t>
        </is>
      </c>
      <c r="C19" s="14" t="n">
        <v>95.25</v>
      </c>
      <c r="D19" s="14" t="n">
        <v>29</v>
      </c>
      <c r="E19" s="13" t="n"/>
      <c r="F19" s="14" t="n">
        <v>23</v>
      </c>
      <c r="G19" s="14" t="n">
        <v>10</v>
      </c>
      <c r="H19" s="13" t="n"/>
      <c r="I19" s="13" t="n"/>
      <c r="J19" s="14" t="n">
        <v>33.25</v>
      </c>
      <c r="K19" s="10" t="inlineStr">
        <is>
          <t>本份专业分析报告整体质量较高。优点在于报告结构完整、逻辑清晰，行业分析部分数据详实、支撑有力，对AI影响的探讨能够做到辩证深入，提出的个人职业规划也较为具体可行，语言表达流畅，格式规范。不足之处在于，对行业现状中核心竞争格局或生态系统的宏观分析可以进一步加强深度与广度；此外，在岗位认知部分，对具体职责与职业成长路径的阐述可以更加细致和具体。建议未来在类似的分析中，加强对行业关键参与者和产业链结构的宏观梳理，并尝试结合更具体的岗位信息来深化对职业路径的理解与规划。</t>
        </is>
      </c>
      <c r="L19" s="14" t="n">
        <v>100</v>
      </c>
    </row>
    <row r="20">
      <c r="A20" s="13" t="inlineStr">
        <is>
          <t>202502210167</t>
        </is>
      </c>
      <c r="B20" s="13" t="inlineStr">
        <is>
          <t>李靖镖</t>
        </is>
      </c>
      <c r="C20" s="14" t="n">
        <v>88.75</v>
      </c>
      <c r="D20" s="14" t="n">
        <v>26.5</v>
      </c>
      <c r="E20" s="13" t="n"/>
      <c r="F20" s="14" t="n">
        <v>21.5</v>
      </c>
      <c r="G20" s="14" t="n">
        <v>9.5</v>
      </c>
      <c r="H20" s="13" t="n"/>
      <c r="I20" s="13" t="n"/>
      <c r="J20" s="14" t="n">
        <v>31.25</v>
      </c>
      <c r="K20" s="10" t="inlineStr">
        <is>
          <t>本次作业提交了一份关于物联网行业分析的报告，整体完成质量较高。报告结构完整，内容详实，对行业现状、发展趋势、AI技术影响以及相关岗位都进行了较为系统的梳理和分析，并引用了具体数据作为支撑，体现了你扎实的专业知识基础和良好的信息整合能力。不足之处在于，部分论证的逻辑链条可以更紧密，例如在趋势判断的全面性和AI潜在负面影响的深度分析上尚有欠缺；此外，部分建议（如风险缓解措施）的针对性和可操作性有待加强，部分表述的严谨性和精炼度也有提升空间。建议未来在保持宏观视野的同时，加强对关键论点的深度挖掘和量化证据的严谨推敲，使分析更具说服力。</t>
        </is>
      </c>
      <c r="L20" s="14" t="n">
        <v>100</v>
      </c>
    </row>
    <row r="21">
      <c r="A21" s="13" t="inlineStr">
        <is>
          <t>202502210171</t>
        </is>
      </c>
      <c r="B21" s="13" t="inlineStr">
        <is>
          <t>左松铭</t>
        </is>
      </c>
      <c r="C21" s="14" t="n">
        <v>23.98</v>
      </c>
      <c r="D21" s="13" t="n"/>
      <c r="E21" s="14" t="n">
        <v>0</v>
      </c>
      <c r="F21" s="13" t="n"/>
      <c r="G21" s="13" t="n"/>
      <c r="H21" s="14" t="n">
        <v>16</v>
      </c>
      <c r="I21" s="14" t="n">
        <v>13.5</v>
      </c>
      <c r="J21" s="13" t="n"/>
      <c r="K21" s="10" t="inlineStr">
        <is>
          <t>本次职业规划作业在结构完整性方面表现尚可，能够按照基本框架进行组织。优点在于对个人能力与职业目标之间的关联性进行了初步思考，展现出一定的规划意识。然而，作业存在明显不足：内容普遍缺乏深度与具体细节，职业缘起、自我认知及行业分析等核心部分过于简略；成长路径与风险应对部分尤为薄弱，目标设定笼统，可执行性与规划弹性严重不足。建议你首先深入进行自我剖析和行业调研，用具体事例和数据支撑观点；其次，将长期目标分解为可量化、有时限的短期行动计划；最后，务必补充对潜在风险的识别与应对策略，使规划更具现实指导意义。</t>
        </is>
      </c>
      <c r="L21" s="14" t="n">
        <v>100</v>
      </c>
    </row>
    <row r="22">
      <c r="A22" s="13" t="inlineStr">
        <is>
          <t>202502210180</t>
        </is>
      </c>
      <c r="B22" s="13" t="inlineStr">
        <is>
          <t>刘星宇</t>
        </is>
      </c>
      <c r="C22" s="14" t="n">
        <v>87.5</v>
      </c>
      <c r="D22" s="14" t="n">
        <v>25</v>
      </c>
      <c r="E22" s="13" t="n"/>
      <c r="F22" s="14" t="n">
        <v>22.5</v>
      </c>
      <c r="G22" s="14" t="n">
        <v>10</v>
      </c>
      <c r="H22" s="13" t="n"/>
      <c r="I22" s="13" t="n"/>
      <c r="J22" s="14" t="n">
        <v>30</v>
      </c>
      <c r="K22" s="10" t="inlineStr">
        <is>
          <t>本次作业整体完成度较高，展现了良好的专业素养。优点在于报告结构完整，逻辑清晰，对物联网行业的现状、趋势及企业案例进行了较为深入和具体的分析，数据详实，论证有力。同时，关于AI技术影响的思考较为全面，个人职业定位也较为清晰。不足之处在于，部分关键分析（如行业痛点、AI的潜在负面影响及其缓解策略）的深度有待加强，论证的证据链条可以更紧密，部分量化价值的阐述也略显笼统。建议未来在深化核心论点时，可进一步挖掘一手数据或行业报告，并尝试构建更严谨的因果逻辑，使结论更具说服力。</t>
        </is>
      </c>
      <c r="L22" s="14" t="n">
        <v>100</v>
      </c>
    </row>
    <row r="23">
      <c r="A23" s="13" t="inlineStr">
        <is>
          <t>202502210184</t>
        </is>
      </c>
      <c r="B23" s="13" t="inlineStr">
        <is>
          <t>莫曜鸿</t>
        </is>
      </c>
      <c r="C23" s="14" t="n">
        <v>56.91</v>
      </c>
      <c r="D23" s="13" t="n"/>
      <c r="E23" s="14" t="n">
        <v>14</v>
      </c>
      <c r="F23" s="13" t="n"/>
      <c r="G23" s="13" t="n"/>
      <c r="H23" s="14" t="n">
        <v>36.5</v>
      </c>
      <c r="I23" s="14" t="n">
        <v>19.5</v>
      </c>
      <c r="J23" s="13" t="n"/>
      <c r="K23" s="10" t="inlineStr">
        <is>
          <t>本次提交的职业规划书展现了较好的整体框架，结构完整，职业目标明确，成长路径设计具体，实践计划也具备一定的可操作性，这是值得肯定的优点。然而，作业在分析的深度上存在明显不足：对选择该职业的缘起阐述过于简略，自我特征、行业与职业的认知分析较为表面，未能充分结合个人特质与外部环境进行深入剖析；此外，能力支撑的细节、风险评估及应对方案部分也显得笼统，缺乏具体的评估周期和可行的备选方案。建议你后续能着重深化自我认知与职业探索部分，运用更具体的工具或事例来支撑分析，并对规划中的风险防范与能力提升路径补充更详实的执行细节，使规划更具说服力和落地性。</t>
        </is>
      </c>
      <c r="L23" s="14" t="n">
        <v>100</v>
      </c>
    </row>
    <row r="24">
      <c r="A24" s="13" t="inlineStr">
        <is>
          <t>202502210192</t>
        </is>
      </c>
      <c r="B24" s="13" t="inlineStr">
        <is>
          <t>王敬丹</t>
        </is>
      </c>
      <c r="C24" s="14" t="n">
        <v>53.66</v>
      </c>
      <c r="D24" s="13" t="n"/>
      <c r="E24" s="14" t="n">
        <v>0</v>
      </c>
      <c r="F24" s="13" t="n"/>
      <c r="G24" s="13" t="n"/>
      <c r="H24" s="14" t="n">
        <v>37</v>
      </c>
      <c r="I24" s="14" t="n">
        <v>29</v>
      </c>
      <c r="J24" s="13" t="n"/>
      <c r="K24" s="10" t="inlineStr">
        <is>
          <t>本次职业生涯规划作业展现了较好的整体框架意识，结构较为完整，职业目标设定明确，对AIoT工程师等目标岗位的职责与要求有基本认知。职业发展路径的规划步骤具体，体现了初步的逻辑思考与可执行性。然而，作业在关键环节的深度与完整性上存在明显不足：一是职业选择的缘起部分，过多依赖理论化的性格测试结果，缺乏结合个人真实经历与体验的生动阐述，说服力较弱；二是对行业与职业的认知分析，信息来源未作说明，导致分析停留在表面，深度不够；三是风险评估与应对策略部分完全缺失，这是规划类文档的重大缺陷。建议你：首先，补充个人与职业选择相关的具体故事或事件，增强规划的个性化与真实感；其次，在行业分析部分，明确引用可靠的资料或数据来源，并进行更深入的剖析；最后，务必增补对潜在职业风险的识别以及具体的应对预案，使规划更为周全。</t>
        </is>
      </c>
      <c r="L24" s="14" t="n">
        <v>100</v>
      </c>
    </row>
    <row r="25">
      <c r="A25" s="13" t="inlineStr">
        <is>
          <t>202502210204</t>
        </is>
      </c>
      <c r="B25" s="13" t="inlineStr">
        <is>
          <t>物联网工程何颂平</t>
        </is>
      </c>
      <c r="C25" s="14" t="n">
        <v>89.63</v>
      </c>
      <c r="D25" s="13" t="n"/>
      <c r="E25" s="14" t="n">
        <v>18</v>
      </c>
      <c r="F25" s="13" t="n"/>
      <c r="G25" s="13" t="n"/>
      <c r="H25" s="14" t="n">
        <v>45.75</v>
      </c>
      <c r="I25" s="14" t="n">
        <v>46.5</v>
      </c>
      <c r="J25" s="13" t="n"/>
      <c r="K25" s="10" t="inlineStr">
        <is>
          <t>本次职业规划作业整体完成质量较高。优点在于规划书结构完整、逻辑清晰，展现了良好的自我认知与行业洞察能力，职业目标明确且行动计划较为详实。不足之处在于，部分内容如职业缘起的叙述深度、能力与目标之间的匹配论证，以及风险评估的具体应对措施等方面，尚有进一步充实的空间。建议后续可着重加强个人经历与职业选择的内在关联性分析，并对计划中的关键节点进行更细致的可行性论证，使规划更具说服力和可操作性。</t>
        </is>
      </c>
      <c r="L25" s="14" t="n">
        <v>100</v>
      </c>
    </row>
    <row r="26">
      <c r="A26" s="13" t="inlineStr">
        <is>
          <t>202502210216</t>
        </is>
      </c>
      <c r="B26" s="13" t="inlineStr">
        <is>
          <t>叶威佳</t>
        </is>
      </c>
      <c r="C26" s="14" t="n">
        <v>26.83</v>
      </c>
      <c r="D26" s="13" t="n"/>
      <c r="E26" s="14" t="n">
        <v>0</v>
      </c>
      <c r="F26" s="13" t="n"/>
      <c r="G26" s="13" t="n"/>
      <c r="H26" s="14" t="n">
        <v>18</v>
      </c>
      <c r="I26" s="14" t="n">
        <v>15</v>
      </c>
      <c r="J26" s="13" t="n"/>
      <c r="K26" s="10" t="inlineStr">
        <is>
          <t>本次职业规划作业提交了完整的结构框架，值得肯定。主要优点在于对个人能力盘点和成长路径进行了初步梳理，展现了基本的规划意识。然而，作业存在明显的不足之处：内容深度普遍欠缺，例如职业缘起部分缺乏具体事例支撑，自我认知与职业目标的逻辑关联较弱，对行业与职业的分析也过于简略。更突出的问题是，全文完全缺失对潜在风险的评估，导致规划显得僵化、弹性不足。建议你后续着重深化具体内容，为每个分析环节补充详实的个人经历或调研数据，并务必增设风险评估与应对策略部分，以增强规划的可信度与可执行性。</t>
        </is>
      </c>
      <c r="L26" s="14" t="n">
        <v>100</v>
      </c>
    </row>
    <row r="27">
      <c r="A27" s="13" t="inlineStr">
        <is>
          <t>2025022101850</t>
        </is>
      </c>
      <c r="B27" s="13" t="inlineStr">
        <is>
          <t>莫梓晴</t>
        </is>
      </c>
      <c r="C27" s="14" t="n">
        <v>81.91</v>
      </c>
      <c r="D27" s="13" t="n"/>
      <c r="E27" s="14" t="n">
        <v>14.5</v>
      </c>
      <c r="F27" s="13" t="n"/>
      <c r="G27" s="13" t="n"/>
      <c r="H27" s="14" t="n">
        <v>41.75</v>
      </c>
      <c r="I27" s="14" t="n">
        <v>44.5</v>
      </c>
      <c r="J27" s="13" t="n"/>
      <c r="K27" s="10" t="inlineStr">
        <is>
          <t>本次职业生涯规划书作业整体完成质量良好。优点在于规划书结构完整、逻辑清晰，对自我认知、外部环境分析和发展路径进行了系统阐述，内容详实，目标明确，尤其在能力差距分析和具体提升计划上表现出色。不足之处在于，对行业与职业的认知深度有待加强，部分能力支撑的细节可以更具体，同时风险评估的全面性及应对策略的针对性尚有提升空间。建议后续可深入研读行业报告，细化关键能力的提升步骤，并针对潜在风险设计更具体的预案。</t>
        </is>
      </c>
      <c r="L27" s="14" t="n">
        <v>100</v>
      </c>
    </row>
    <row r="28">
      <c r="A28" s="13" t="inlineStr"/>
      <c r="B28" s="13" t="inlineStr"/>
      <c r="C28" s="13" t="n"/>
      <c r="D28" s="13" t="n"/>
      <c r="E28" s="13" t="n"/>
      <c r="F28" s="13" t="n"/>
      <c r="G28" s="13" t="n"/>
      <c r="H28" s="13" t="n"/>
      <c r="I28" s="13" t="n"/>
      <c r="J28" s="13" t="n"/>
      <c r="K28" s="10" t="inlineStr"/>
      <c r="L28" s="14" t="n">
        <v>60</v>
      </c>
    </row>
    <row r="29">
      <c r="A29" s="13" t="inlineStr"/>
      <c r="B29" s="13" t="inlineStr"/>
      <c r="C29" s="13" t="n"/>
      <c r="D29" s="13" t="n"/>
      <c r="E29" s="13" t="n"/>
      <c r="F29" s="13" t="n"/>
      <c r="G29" s="13" t="n"/>
      <c r="H29" s="13" t="n"/>
      <c r="I29" s="13" t="n"/>
      <c r="J29" s="13" t="n"/>
      <c r="K29" s="10" t="inlineStr"/>
      <c r="L29" s="14" t="n">
        <v>60</v>
      </c>
    </row>
    <row r="30">
      <c r="A30" s="13" t="inlineStr"/>
      <c r="B30" s="13" t="inlineStr"/>
      <c r="C30" s="14" t="n">
        <v>25.61</v>
      </c>
      <c r="D30" s="13" t="n"/>
      <c r="E30" s="14" t="n">
        <v>0</v>
      </c>
      <c r="F30" s="13" t="n"/>
      <c r="G30" s="13" t="n"/>
      <c r="H30" s="14" t="n">
        <v>13</v>
      </c>
      <c r="I30" s="14" t="n">
        <v>18.5</v>
      </c>
      <c r="J30" s="13" t="n"/>
      <c r="K30" s="10" t="inlineStr">
        <is>
          <t>本次职业规划作业展现了良好的结构意识，目标岗位设定明确，整体框架清晰。主要优点在于规划书的结构完整，对职业目标有基本的方向性认识。然而，不足之处也较为明显：首先，内容深度普遍不足，尤其在职业缘起和能力基础部分，叙述较为笼统，缺乏具体事例和深入分析，未能充分论证个人能力与目标岗位的匹配性；其次，成长路径部分虽有框架，但关键细节缺失，可操作性不强；最为突出的问题是风险应对部分完全空白，这严重影响了规划的完整性与可行性。建议你：第一，对每一部分内容进行深化，补充具体的个人经历、技能证据和详细实施步骤，增强说服力；第二，务必补全对潜在职业风险的识别与应对策略，这是职业规划不可或缺的一环。</t>
        </is>
      </c>
      <c r="L30" s="14" t="n">
        <v>100</v>
      </c>
    </row>
    <row r="31">
      <c r="A31" s="13" t="inlineStr"/>
      <c r="B31" s="13" t="inlineStr"/>
      <c r="C31" s="13" t="n"/>
      <c r="D31" s="13" t="n"/>
      <c r="E31" s="13" t="n"/>
      <c r="F31" s="13" t="n"/>
      <c r="G31" s="13" t="n"/>
      <c r="H31" s="13" t="n"/>
      <c r="I31" s="13" t="n"/>
      <c r="J31" s="13" t="n"/>
      <c r="K31" s="10" t="inlineStr"/>
      <c r="L31" s="14" t="n">
        <v>60</v>
      </c>
    </row>
    <row r="32">
      <c r="A32" s="13" t="inlineStr"/>
      <c r="B32" s="13" t="inlineStr"/>
      <c r="C32" s="14" t="n">
        <v>88.5</v>
      </c>
      <c r="D32" s="14" t="n">
        <v>26</v>
      </c>
      <c r="E32" s="13" t="n"/>
      <c r="F32" s="14" t="n">
        <v>22.5</v>
      </c>
      <c r="G32" s="14" t="n">
        <v>9.5</v>
      </c>
      <c r="H32" s="13" t="n"/>
      <c r="I32" s="13" t="n"/>
      <c r="J32" s="14" t="n">
        <v>30.5</v>
      </c>
      <c r="K32" s="10" t="inlineStr">
        <is>
          <t>本次作业报告结构完整，内容详实，对物联网行业的现状梳理数据详实，趋势判断具备一定的逻辑支撑。在AI影响分析部分能够做到具体且量化，岗位认知也较为清晰，体现了较好的专业分析能力。然而，报告在部分分析的深度上仍有提升空间，例如行业趋势判断的逻辑链条可以更严密，风险缓解建议稍显笼统，语言表达偶有冗余。建议未来在论证的严密性和建议的具体性上多下功夫，例如在薪资分析中可进一步考虑地域与公司类型的差异，使报告更具洞察力和实践指导价值。</t>
        </is>
      </c>
      <c r="L32" s="14" t="n">
        <v>100</v>
      </c>
    </row>
    <row r="33">
      <c r="A33" s="13" t="inlineStr"/>
      <c r="B33" s="13" t="inlineStr"/>
      <c r="C33" s="13" t="n"/>
      <c r="D33" s="13" t="n"/>
      <c r="E33" s="13" t="n"/>
      <c r="F33" s="13" t="n"/>
      <c r="G33" s="13" t="n"/>
      <c r="H33" s="13" t="n"/>
      <c r="I33" s="13" t="n"/>
      <c r="J33" s="13" t="n"/>
      <c r="K33" s="10" t="inlineStr"/>
      <c r="L33" s="14" t="n">
        <v>60</v>
      </c>
    </row>
    <row r="34">
      <c r="A34" s="13" t="inlineStr"/>
      <c r="B34" s="13" t="inlineStr"/>
      <c r="C34" s="13" t="n"/>
      <c r="D34" s="13" t="n"/>
      <c r="E34" s="13" t="n"/>
      <c r="F34" s="13" t="n"/>
      <c r="G34" s="13" t="n"/>
      <c r="H34" s="13" t="n"/>
      <c r="I34" s="13" t="n"/>
      <c r="J34" s="13" t="n"/>
      <c r="K34" s="10" t="inlineStr"/>
      <c r="L34" s="14" t="n">
        <v>60</v>
      </c>
    </row>
    <row r="35">
      <c r="A35" s="13" t="inlineStr"/>
      <c r="B35" s="13" t="inlineStr"/>
      <c r="C35" s="13" t="n"/>
      <c r="D35" s="13" t="n"/>
      <c r="E35" s="13" t="n"/>
      <c r="F35" s="13" t="n"/>
      <c r="G35" s="13" t="n"/>
      <c r="H35" s="13" t="n"/>
      <c r="I35" s="13" t="n"/>
      <c r="J35" s="13" t="n"/>
      <c r="K35" s="10" t="inlineStr"/>
      <c r="L35" s="14" t="n">
        <v>60</v>
      </c>
    </row>
    <row r="36">
      <c r="A36" s="13" t="inlineStr"/>
      <c r="B36" s="13" t="inlineStr"/>
      <c r="C36" s="13" t="n"/>
      <c r="D36" s="13" t="n"/>
      <c r="E36" s="13" t="n"/>
      <c r="F36" s="13" t="n"/>
      <c r="G36" s="13" t="n"/>
      <c r="H36" s="13" t="n"/>
      <c r="I36" s="13" t="n"/>
      <c r="J36" s="13" t="n"/>
      <c r="K36" s="10" t="inlineStr"/>
      <c r="L36" s="14" t="n">
        <v>60</v>
      </c>
    </row>
    <row r="37">
      <c r="A37" s="13" t="inlineStr"/>
      <c r="B37" s="13" t="inlineStr"/>
      <c r="C37" s="13" t="n"/>
      <c r="D37" s="13" t="n"/>
      <c r="E37" s="13" t="n"/>
      <c r="F37" s="13" t="n"/>
      <c r="G37" s="13" t="n"/>
      <c r="H37" s="13" t="n"/>
      <c r="I37" s="13" t="n"/>
      <c r="J37" s="13" t="n"/>
      <c r="K37" s="10" t="inlineStr"/>
      <c r="L37" s="14" t="n">
        <v>60</v>
      </c>
    </row>
    <row r="38">
      <c r="A38" s="13" t="inlineStr"/>
      <c r="B38" s="13" t="inlineStr"/>
      <c r="C38" s="13" t="n"/>
      <c r="D38" s="13" t="n"/>
      <c r="E38" s="13" t="n"/>
      <c r="F38" s="13" t="n"/>
      <c r="G38" s="13" t="n"/>
      <c r="H38" s="13" t="n"/>
      <c r="I38" s="13" t="n"/>
      <c r="J38" s="13" t="n"/>
      <c r="K38" s="10" t="inlineStr"/>
      <c r="L38" s="14" t="n">
        <v>60</v>
      </c>
    </row>
    <row r="39">
      <c r="A39" s="13" t="inlineStr"/>
      <c r="B39" s="13" t="inlineStr"/>
      <c r="C39" s="13" t="n"/>
      <c r="D39" s="13" t="n"/>
      <c r="E39" s="13" t="n"/>
      <c r="F39" s="13" t="n"/>
      <c r="G39" s="13" t="n"/>
      <c r="H39" s="13" t="n"/>
      <c r="I39" s="13" t="n"/>
      <c r="J39" s="13" t="n"/>
      <c r="K39" s="10" t="inlineStr"/>
      <c r="L39" s="14" t="n">
        <v>60</v>
      </c>
    </row>
  </sheetData>
  <conditionalFormatting sqref="A2:L39">
    <cfRule type="expression" priority="1" dxfId="0">
      <formula>MOD(ROW(),2)=0</formula>
    </cfRule>
  </conditionalFormatting>
  <conditionalFormatting sqref="C2:C39">
    <cfRule type="colorScale" priority="2">
      <colorScale>
        <cfvo type="min"/>
        <cfvo type="percentile" val="50"/>
        <cfvo type="max"/>
        <color rgb="00F8696B"/>
        <color rgb="00FFEB84"/>
        <color rgb="0063BE7B"/>
      </colorScale>
    </cfRule>
  </conditionalFormatting>
  <conditionalFormatting sqref="K2:K39">
    <cfRule type="expression" priority="3" dxfId="1">
      <formula>TRUE</formula>
    </cfRule>
  </conditionalFormatting>
  <pageMargins left="0.75" right="0.75" top="1" bottom="1" header="0.5" footer="0.5"/>
  <pageSetup orientation="portrait"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M39"/>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10" customWidth="1" min="2" max="2"/>
    <col width="11.6" customWidth="1" min="3" max="3"/>
    <col width="17.6" customWidth="1" min="4" max="4"/>
    <col width="30" customWidth="1" min="5" max="5"/>
    <col width="10" customWidth="1" min="6" max="6"/>
    <col width="10" customWidth="1" min="7" max="7"/>
    <col width="41.6" customWidth="1" min="8" max="8"/>
    <col width="40" customWidth="1" min="9" max="9"/>
    <col width="40" customWidth="1" min="10" max="10"/>
    <col width="10" customWidth="1" min="11" max="11"/>
    <col width="10" customWidth="1" min="12" max="12"/>
    <col width="39.2" customWidth="1" min="13" max="13"/>
  </cols>
  <sheetData>
    <row r="1" ht="24" customHeight="1">
      <c r="A1" s="12" t="inlineStr">
        <is>
          <t>状态</t>
        </is>
      </c>
      <c r="B1" s="12" t="inlineStr">
        <is>
          <t>最终分</t>
        </is>
      </c>
      <c r="C1" s="12" t="inlineStr">
        <is>
          <t>姓名</t>
        </is>
      </c>
      <c r="D1" s="12" t="inlineStr">
        <is>
          <t>学号</t>
        </is>
      </c>
      <c r="E1" s="12" t="inlineStr">
        <is>
          <t>文件名</t>
        </is>
      </c>
      <c r="F1" s="12" t="inlineStr">
        <is>
          <t>成功模型数</t>
        </is>
      </c>
      <c r="G1" s="12" t="inlineStr">
        <is>
          <t>失败模型数</t>
        </is>
      </c>
      <c r="H1" s="12" t="inlineStr">
        <is>
          <t>模型通过率</t>
        </is>
      </c>
      <c r="I1" s="12" t="inlineStr">
        <is>
          <t>总体评语</t>
        </is>
      </c>
      <c r="J1" s="12" t="inlineStr">
        <is>
          <t>错误描述</t>
        </is>
      </c>
      <c r="K1" s="12" t="inlineStr">
        <is>
          <t>聚合算法</t>
        </is>
      </c>
      <c r="L1" s="12" t="inlineStr">
        <is>
          <t>查看模型</t>
        </is>
      </c>
      <c r="M1" s="12" t="inlineStr">
        <is>
          <t>查看细则</t>
        </is>
      </c>
    </row>
    <row r="2">
      <c r="A2" s="13" t="inlineStr">
        <is>
          <t>成功</t>
        </is>
      </c>
      <c r="B2" s="14" t="n">
        <v>88.75</v>
      </c>
      <c r="C2" s="13" t="inlineStr">
        <is>
          <t>李靖镖</t>
        </is>
      </c>
      <c r="D2" s="13" t="inlineStr">
        <is>
          <t>202502210167</t>
        </is>
      </c>
      <c r="E2" s="10" t="inlineStr">
        <is>
          <t>1-25物联网工程1班李靖镖202502210167专业分析报告.docx</t>
        </is>
      </c>
      <c r="F2" s="13" t="n">
        <v>2</v>
      </c>
      <c r="G2" s="13" t="n">
        <v>0</v>
      </c>
      <c r="H2" s="15">
        <f>IF((F2+G2)=0,"",F2/(F2+G2))</f>
        <v/>
      </c>
      <c r="I2" s="10" t="inlineStr">
        <is>
          <t>本次作业提交了一份关于物联网行业分析的报告，整体完成质量较高。报告结构完整，内容详实，对行业现状、发展趋势、AI技术影响以及相关岗位都进行了较为系统的梳理和分析，并引用了具体数据作为支撑，体现了你扎实的专业知识基础和良好的信息整合能力。不足之处在于，部分论证的逻辑链条可以更紧密，例如在趋势判断的全面性和AI潜在负面影响的深度分析上尚有欠缺；此外，部分建议（如风险缓解措施）的针对性和可操作性有待加强，部分表述的严谨性和精炼度也有提升空间。建议未来在保持宏观视野的同时，加强对关键论点的深度挖掘和量化证据的严谨推敲，使分析更具说服力。</t>
        </is>
      </c>
      <c r="J2" s="10" t="n"/>
      <c r="K2" s="13" t="inlineStr">
        <is>
          <t>mean</t>
        </is>
      </c>
      <c r="L2" s="13" t="n"/>
      <c r="M2" s="16">
        <f>HYPERLINK("#'细则明细'!A2","查看")</f>
        <v/>
      </c>
    </row>
    <row r="3">
      <c r="A3" s="13" t="inlineStr">
        <is>
          <t>成功</t>
        </is>
      </c>
      <c r="B3" s="14" t="n">
        <v>92.25</v>
      </c>
      <c r="C3" s="13" t="inlineStr">
        <is>
          <t>汤智健</t>
        </is>
      </c>
      <c r="D3" s="13" t="inlineStr">
        <is>
          <t>202502210147</t>
        </is>
      </c>
      <c r="E3" s="10" t="inlineStr">
        <is>
          <t>2-25物联网工程1班 汤智健 202502210147 专业分析报告.docx</t>
        </is>
      </c>
      <c r="F3" s="13" t="n">
        <v>2</v>
      </c>
      <c r="G3" s="13" t="n">
        <v>0</v>
      </c>
      <c r="H3" s="15">
        <f>IF((F3+G3)=0,"",F3/(F3+G3))</f>
        <v/>
      </c>
      <c r="I3" s="10" t="inlineStr">
        <is>
          <t>本次作业整体完成度较高，展现了良好的专业素养。优点在于报告结构完整、逻辑清晰，对物联网行业的分析较为深入，能够结合专业背景进行阐述，对人工智能影响的辩证思考也值得肯定。不足之处在于部分分析（如趋势预测、风险缓解）的深度和量化支撑仍有提升空间，语言表达上偶有冗余，使得论述的精准性稍显不足。建议后续可加强对关键论点的数据或案例佐证，使分析更具说服力；同时，在撰写时注意锤炼语言，力求简洁、准确。</t>
        </is>
      </c>
      <c r="J3" s="10" t="n"/>
      <c r="K3" s="13" t="inlineStr">
        <is>
          <t>mean</t>
        </is>
      </c>
      <c r="L3" s="13" t="n"/>
      <c r="M3" s="16">
        <f>HYPERLINK("#'细则明细'!A10","查看")</f>
        <v/>
      </c>
    </row>
    <row r="4">
      <c r="A4" s="13" t="inlineStr">
        <is>
          <t>失败</t>
        </is>
      </c>
      <c r="B4" s="13" t="n"/>
      <c r="C4" s="13" t="n"/>
      <c r="D4" s="13" t="n"/>
      <c r="E4" s="10" t="inlineStr">
        <is>
          <t>3-张奕灏202502210115职业发展导论.docx</t>
        </is>
      </c>
      <c r="F4" s="13" t="n">
        <v>0</v>
      </c>
      <c r="G4" s="13" t="n">
        <v>0</v>
      </c>
      <c r="H4" s="15">
        <f>IF((F4+G4)=0,"",F4/(F4+G4))</f>
        <v/>
      </c>
      <c r="I4" s="10" t="n"/>
      <c r="J4" s="10" t="inlineStr">
        <is>
          <t>作业文件名未匹配到任何分类关键字，请检查文件名是否包含分类列表名称。</t>
        </is>
      </c>
      <c r="K4" s="13" t="inlineStr">
        <is>
          <t>mean</t>
        </is>
      </c>
      <c r="L4" s="13" t="n"/>
      <c r="M4" s="13" t="n"/>
    </row>
    <row r="5">
      <c r="A5" s="13" t="inlineStr">
        <is>
          <t>成功</t>
        </is>
      </c>
      <c r="B5" s="14" t="n">
        <v>72</v>
      </c>
      <c r="C5" s="13" t="inlineStr">
        <is>
          <t>物联网工程</t>
        </is>
      </c>
      <c r="D5" s="13" t="inlineStr">
        <is>
          <t>202502210088</t>
        </is>
      </c>
      <c r="E5" s="10" t="inlineStr">
        <is>
          <t>4-物联网工程1班202502210088梁梓恒专业分析报告.docx</t>
        </is>
      </c>
      <c r="F5" s="13" t="n">
        <v>2</v>
      </c>
      <c r="G5" s="13" t="n">
        <v>0</v>
      </c>
      <c r="H5" s="15">
        <f>IF((F5+G5)=0,"",F5/(F5+G5))</f>
        <v/>
      </c>
      <c r="I5" s="10" t="inlineStr">
        <is>
          <t>本次作业提交了一份关于物联网行业的分析报告，整体结构完整，逻辑框架清晰。优点在于对行业现状进行了较为深入的剖析，能够结合具体数据展开论述，对人工智能影响的讨论也体现了辩证思考的能力，显示出你具备一定的专业认知和分析基础。不足之处在于，行业趋势判断的证据链尚不够严密，部分论述缺乏强有力的数据或案例支撑；对潜在风险的分析和缓解建议稍显笼统，未能提出更具操作性的方案；薪资与发展预期的分析也略显单薄。建议后续在趋势论证时强化逻辑链条的衔接，增加对行业报告、学术文献等权威资料的引用以增强说服力；针对风险部分，可尝试结合具体企业案例提出分步骤的应对策略；同时，对岗位薪资的预期应建立在更广泛的市场调研数据基础上，使结论更为扎实可信。</t>
        </is>
      </c>
      <c r="J5" s="10" t="n"/>
      <c r="K5" s="13" t="inlineStr">
        <is>
          <t>mean</t>
        </is>
      </c>
      <c r="L5" s="13" t="n"/>
      <c r="M5" s="16">
        <f>HYPERLINK("#'细则明细'!A18","查看")</f>
        <v/>
      </c>
    </row>
    <row r="6">
      <c r="A6" s="13" t="inlineStr">
        <is>
          <t>成功</t>
        </is>
      </c>
      <c r="B6" s="14" t="n">
        <v>5.08</v>
      </c>
      <c r="C6" s="13" t="inlineStr">
        <is>
          <t>罗洋</t>
        </is>
      </c>
      <c r="D6" s="13" t="inlineStr">
        <is>
          <t>202502210148</t>
        </is>
      </c>
      <c r="E6" s="10" t="inlineStr">
        <is>
          <t>5-25物联网工程1班罗洋202502210148职业规划书.docx</t>
        </is>
      </c>
      <c r="F6" s="13" t="n">
        <v>2</v>
      </c>
      <c r="G6" s="13" t="n">
        <v>0</v>
      </c>
      <c r="H6" s="15">
        <f>IF((F6+G6)=0,"",F6/(F6+G6))</f>
        <v/>
      </c>
      <c r="I6" s="10" t="inlineStr">
        <is>
          <t>本次职业规划作业在行业与技术分析方面展现出一定的信息搜集与整理能力，体现出对宏观职业环境的关注。然而，作业存在明显不足：整体结构不完整，未能遵循职业规划书的基本框架，核心模块如个人职业缘起、深入的自我分析、具体的能力盘点、清晰的成长路径规划以及风险评估与应对策略均严重缺失或未涉及，导致规划内容缺乏个人针对性与可执行性，更像一份行业报告而非个人规划。建议你首先系统学习职业规划的标准框架，明确各模块要求；其次，务必补充详尽的自我认知部分，将个人兴趣、能力与职业目标紧密关联；最后，需制定具体、分阶段、可衡量的行动计划，并预设可能的风险与对策，使规划真正落地。</t>
        </is>
      </c>
      <c r="J6" s="10" t="n"/>
      <c r="K6" s="13" t="inlineStr">
        <is>
          <t>mean</t>
        </is>
      </c>
      <c r="L6" s="13" t="n"/>
      <c r="M6" s="16">
        <f>HYPERLINK("#'细则明细'!A26","查看")</f>
        <v/>
      </c>
    </row>
    <row r="7">
      <c r="A7" s="13" t="inlineStr">
        <is>
          <t>成功</t>
        </is>
      </c>
      <c r="B7" s="14" t="n">
        <v>49.5</v>
      </c>
      <c r="C7" s="13" t="inlineStr">
        <is>
          <t>刘锐杨</t>
        </is>
      </c>
      <c r="D7" s="13" t="inlineStr">
        <is>
          <t>202502210096</t>
        </is>
      </c>
      <c r="E7" s="10" t="inlineStr">
        <is>
          <t>6-25物联网工程1班刘锐杨202502210096专业分析报告.docx</t>
        </is>
      </c>
      <c r="F7" s="13" t="n">
        <v>2</v>
      </c>
      <c r="G7" s="13" t="n">
        <v>0</v>
      </c>
      <c r="H7" s="15">
        <f>IF((F7+G7)=0,"",F7/(F7+G7))</f>
        <v/>
      </c>
      <c r="I7" s="10" t="inlineStr">
        <is>
          <t>本次作业在报告框架和行业宏观把握方面展现出一定优势，结构清晰，对行业趋势及AI影响的辩证思考值得肯定。然而，作业存在明显不足，核心问题在于内容不完整，多处关键部分仅停留于大纲或标题，缺乏具体分析、数据支撑和深入论证，例如行业痛点、风险应对建议及个人职业匹配的细节阐述均显薄弱，导致整体论证深度不足、逻辑链条不够闭环。建议你后续着重补充具体案例、调研数据和详细分析，强化各部分的论证支撑，使报告内容更为充实、逻辑更为严谨。</t>
        </is>
      </c>
      <c r="J7" s="10" t="n"/>
      <c r="K7" s="13" t="inlineStr">
        <is>
          <t>mean</t>
        </is>
      </c>
      <c r="L7" s="13" t="n"/>
      <c r="M7" s="16">
        <f>HYPERLINK("#'细则明细'!A37","查看")</f>
        <v/>
      </c>
    </row>
    <row r="8">
      <c r="A8" s="13" t="inlineStr">
        <is>
          <t>成功</t>
        </is>
      </c>
      <c r="B8" s="14" t="n">
        <v>56.91</v>
      </c>
      <c r="C8" s="13" t="inlineStr">
        <is>
          <t>莫曜鸿</t>
        </is>
      </c>
      <c r="D8" s="13" t="inlineStr">
        <is>
          <t>202502210184</t>
        </is>
      </c>
      <c r="E8" s="10" t="inlineStr">
        <is>
          <t>7-202502210184莫曜鸿职业规划书.docx</t>
        </is>
      </c>
      <c r="F8" s="13" t="n">
        <v>2</v>
      </c>
      <c r="G8" s="13" t="n">
        <v>0</v>
      </c>
      <c r="H8" s="15">
        <f>IF((F8+G8)=0,"",F8/(F8+G8))</f>
        <v/>
      </c>
      <c r="I8" s="10" t="inlineStr">
        <is>
          <t>本次提交的职业规划书展现了较好的整体框架，结构完整，职业目标明确，成长路径设计具体，实践计划也具备一定的可操作性，这是值得肯定的优点。然而，作业在分析的深度上存在明显不足：对选择该职业的缘起阐述过于简略，自我特征、行业与职业的认知分析较为表面，未能充分结合个人特质与外部环境进行深入剖析；此外，能力支撑的细节、风险评估及应对方案部分也显得笼统，缺乏具体的评估周期和可行的备选方案。建议你后续能着重深化自我认知与职业探索部分，运用更具体的工具或事例来支撑分析，并对规划中的风险防范与能力提升路径补充更详实的执行细节，使规划更具说服力和落地性。</t>
        </is>
      </c>
      <c r="J8" s="10" t="n"/>
      <c r="K8" s="13" t="inlineStr">
        <is>
          <t>mean</t>
        </is>
      </c>
      <c r="L8" s="13" t="n"/>
      <c r="M8" s="16">
        <f>HYPERLINK("#'细则明细'!A45","查看")</f>
        <v/>
      </c>
    </row>
    <row r="9">
      <c r="A9" s="13" t="inlineStr">
        <is>
          <t>成功</t>
        </is>
      </c>
      <c r="B9" s="14" t="n">
        <v>35.37</v>
      </c>
      <c r="C9" s="13" t="inlineStr">
        <is>
          <t>杨天</t>
        </is>
      </c>
      <c r="D9" s="13" t="inlineStr">
        <is>
          <t>202502210150</t>
        </is>
      </c>
      <c r="E9" s="10" t="inlineStr">
        <is>
          <t>8-25物联网工程1班202502210150杨天职业规划书.docx</t>
        </is>
      </c>
      <c r="F9" s="13" t="n">
        <v>2</v>
      </c>
      <c r="G9" s="13" t="n">
        <v>0</v>
      </c>
      <c r="H9" s="15">
        <f>IF((F9+G9)=0,"",F9/(F9+G9))</f>
        <v/>
      </c>
      <c r="I9" s="10" t="inlineStr">
        <is>
          <t>本次职业规划作业展现出一些值得肯定的优点。规划书整体结构清晰，职业目标设定明确，发展路径的设计也较为合理，体现了对个人能力与目标匹配性的初步思考。然而，作业存在明显的不足之处。核心问题在于内容深度与分析广度严重不足，特别是职业缘起、自我特征剖析、行业与职业认知以及风险评估等关键模块，或完全缺失，或阐述过于简略，未能体现深入的自我探索与前瞻性的外部环境分析。这使得规划书更像一份技术学习计划，而非一份完整的、有深度的职业规划。建议你后续重点补充并深化对个人职业选择内在动机（缘起）的挖掘，并系统性地进行自我认知（如性格、兴趣、价值观）与外部职业环境（如行业趋势、岗位要求）的分析，在此基础上完善风险评估与应对策略，从而提升规划的逻辑性与说服力。</t>
        </is>
      </c>
      <c r="J9" s="10" t="n"/>
      <c r="K9" s="13" t="inlineStr">
        <is>
          <t>mean</t>
        </is>
      </c>
      <c r="L9" s="13" t="n"/>
      <c r="M9" s="16">
        <f>HYPERLINK("#'细则明细'!A56","查看")</f>
        <v/>
      </c>
    </row>
    <row r="10">
      <c r="A10" s="13" t="inlineStr">
        <is>
          <t>成功</t>
        </is>
      </c>
      <c r="B10" s="14" t="n">
        <v>30.9</v>
      </c>
      <c r="C10" s="13" t="inlineStr">
        <is>
          <t>何荣林</t>
        </is>
      </c>
      <c r="D10" s="13" t="inlineStr">
        <is>
          <t>202502210127</t>
        </is>
      </c>
      <c r="E10" s="10" t="inlineStr">
        <is>
          <t>9-25物联网工程1班何荣林202502210127专业职业规划书.docx</t>
        </is>
      </c>
      <c r="F10" s="13" t="n">
        <v>2</v>
      </c>
      <c r="G10" s="13" t="n">
        <v>0</v>
      </c>
      <c r="H10" s="15">
        <f>IF((F10+G10)=0,"",F10/(F10+G10))</f>
        <v/>
      </c>
      <c r="I10" s="10" t="inlineStr">
        <is>
          <t>本次职业生涯规划作业展现了良好的结构性与逻辑性，能够清晰阐述对物联网行业的宏观认识，并制定了分阶段的职业发展路径，目标明确，规划具体。然而，作业内容存在明显不足，主要问题在于过度依赖通用模板，缺乏个人真实经历、具体案例与数据的支撑，导致分析深度不足，内容显得空泛。建议你结合自身的学习实践、项目经验或实习见闻，对行业认知、技能要求进行更具体、个性化的阐述，并用量化指标或实际案例来充实各阶段规划，使方案更具说服力和可操作性。</t>
        </is>
      </c>
      <c r="J10" s="10" t="n"/>
      <c r="K10" s="13" t="inlineStr">
        <is>
          <t>mean</t>
        </is>
      </c>
      <c r="L10" s="13" t="n"/>
      <c r="M10" s="16">
        <f>HYPERLINK("#'细则明细'!A67","查看")</f>
        <v/>
      </c>
    </row>
    <row r="11">
      <c r="A11" s="13" t="inlineStr">
        <is>
          <t>成功</t>
        </is>
      </c>
      <c r="B11" s="14" t="n">
        <v>89.63</v>
      </c>
      <c r="C11" s="13" t="inlineStr">
        <is>
          <t>物联网工程何颂平</t>
        </is>
      </c>
      <c r="D11" s="13" t="inlineStr">
        <is>
          <t>202502210204</t>
        </is>
      </c>
      <c r="E11" s="10" t="inlineStr">
        <is>
          <t>10-物联网工程1班何颂平202502210204职业规划书.docx</t>
        </is>
      </c>
      <c r="F11" s="13" t="n">
        <v>2</v>
      </c>
      <c r="G11" s="13" t="n">
        <v>0</v>
      </c>
      <c r="H11" s="15">
        <f>IF((F11+G11)=0,"",F11/(F11+G11))</f>
        <v/>
      </c>
      <c r="I11" s="10" t="inlineStr">
        <is>
          <t>本次职业规划作业整体完成质量较高。优点在于规划书结构完整、逻辑清晰，展现了良好的自我认知与行业洞察能力，职业目标明确且行动计划较为详实。不足之处在于，部分内容如职业缘起的叙述深度、能力与目标之间的匹配论证，以及风险评估的具体应对措施等方面，尚有进一步充实的空间。建议后续可着重加强个人经历与职业选择的内在关联性分析，并对计划中的关键节点进行更细致的可行性论证，使规划更具说服力和可操作性。</t>
        </is>
      </c>
      <c r="J11" s="10" t="n"/>
      <c r="K11" s="13" t="inlineStr">
        <is>
          <t>mean</t>
        </is>
      </c>
      <c r="L11" s="13" t="n"/>
      <c r="M11" s="16">
        <f>HYPERLINK("#'细则明细'!A78","查看")</f>
        <v/>
      </c>
    </row>
    <row r="12">
      <c r="A12" s="13" t="inlineStr">
        <is>
          <t>失败</t>
        </is>
      </c>
      <c r="B12" s="13" t="n"/>
      <c r="C12" s="13" t="n"/>
      <c r="D12" s="13" t="n"/>
      <c r="E12" s="10" t="inlineStr">
        <is>
          <t>11-陈加豪.docx</t>
        </is>
      </c>
      <c r="F12" s="13" t="n">
        <v>0</v>
      </c>
      <c r="G12" s="13" t="n">
        <v>0</v>
      </c>
      <c r="H12" s="15">
        <f>IF((F12+G12)=0,"",F12/(F12+G12))</f>
        <v/>
      </c>
      <c r="I12" s="10" t="n"/>
      <c r="J12" s="10" t="inlineStr">
        <is>
          <t>作业文件名未匹配到任何分类关键字，请检查文件名是否包含分类列表名称。</t>
        </is>
      </c>
      <c r="K12" s="13" t="inlineStr">
        <is>
          <t>mean</t>
        </is>
      </c>
      <c r="L12" s="13" t="n"/>
      <c r="M12" s="13" t="n"/>
    </row>
    <row r="13">
      <c r="A13" s="13" t="inlineStr">
        <is>
          <t>失败</t>
        </is>
      </c>
      <c r="B13" s="13" t="n"/>
      <c r="C13" s="13" t="n"/>
      <c r="D13" s="13" t="n"/>
      <c r="E13" s="10" t="inlineStr">
        <is>
          <t>12-25物联网工程一班曾永曦202502210132.docx</t>
        </is>
      </c>
      <c r="F13" s="13" t="n">
        <v>0</v>
      </c>
      <c r="G13" s="13" t="n">
        <v>0</v>
      </c>
      <c r="H13" s="15">
        <f>IF((F13+G13)=0,"",F13/(F13+G13))</f>
        <v/>
      </c>
      <c r="I13" s="10" t="n"/>
      <c r="J13" s="10" t="inlineStr">
        <is>
          <t>作业文件名未匹配到任何分类关键字，请检查文件名是否包含分类列表名称。</t>
        </is>
      </c>
      <c r="K13" s="13" t="inlineStr">
        <is>
          <t>mean</t>
        </is>
      </c>
      <c r="L13" s="13" t="n"/>
      <c r="M13" s="13" t="n"/>
    </row>
    <row r="14">
      <c r="A14" s="13" t="inlineStr">
        <is>
          <t>成功</t>
        </is>
      </c>
      <c r="B14" s="14" t="n">
        <v>27.24</v>
      </c>
      <c r="C14" s="13" t="inlineStr">
        <is>
          <t>刘辉龙</t>
        </is>
      </c>
      <c r="D14" s="13" t="inlineStr">
        <is>
          <t>202502210110</t>
        </is>
      </c>
      <c r="E14" s="10" t="inlineStr">
        <is>
          <t>13-25物联网工程1班刘辉龙202502210110职业规划书.docx</t>
        </is>
      </c>
      <c r="F14" s="13" t="n">
        <v>2</v>
      </c>
      <c r="G14" s="13" t="n">
        <v>0</v>
      </c>
      <c r="H14" s="15">
        <f>IF((F14+G14)=0,"",F14/(F14+G14))</f>
        <v/>
      </c>
      <c r="I14" s="10" t="inlineStr">
        <is>
          <t>本次职业生涯规划作业展现了良好的框架意识，结构清晰，目标设定明确，能够尝试将个人特质与目标行业进行初步结合，这是值得肯定的基础。然而，作业的核心问题在于内容深度与详实度严重不足，多处关键部分，如职业选择的缘起、对行业与职业的深入认知、个人能力基础的剖析以及风险应对策略等，仅停留在概念或结论层面，缺乏具体、深入的论述和有力的支撑材料，导致整体分析显得空泛，规划的说服力与可执行性因此大打折扣。建议你后续重点围绕“如何实现”与“为何可行”这两个核心问题，对规划中的每一个环节进行细化，补充具体的事实依据、数据参考或分步行动计划，使你的职业蓝图更加丰满和扎实。</t>
        </is>
      </c>
      <c r="J14" s="10" t="n"/>
      <c r="K14" s="13" t="inlineStr">
        <is>
          <t>mean</t>
        </is>
      </c>
      <c r="L14" s="13" t="n"/>
      <c r="M14" s="16">
        <f>HYPERLINK("#'细则明细'!A89","查看")</f>
        <v/>
      </c>
    </row>
    <row r="15">
      <c r="A15" s="13" t="inlineStr">
        <is>
          <t>成功</t>
        </is>
      </c>
      <c r="B15" s="14" t="n">
        <v>31.71</v>
      </c>
      <c r="C15" s="13" t="inlineStr">
        <is>
          <t>刘宇轩</t>
        </is>
      </c>
      <c r="D15" s="13" t="inlineStr">
        <is>
          <t>202502210113</t>
        </is>
      </c>
      <c r="E15" s="10" t="inlineStr">
        <is>
          <t>14-25物联网工程1班刘宇轩202502210113职业规划书.docx</t>
        </is>
      </c>
      <c r="F15" s="13" t="n">
        <v>2</v>
      </c>
      <c r="G15" s="13" t="n">
        <v>0</v>
      </c>
      <c r="H15" s="15">
        <f>IF((F15+G15)=0,"",F15/(F15+G15))</f>
        <v/>
      </c>
      <c r="I15" s="10" t="inlineStr">
        <is>
          <t>本次职业规划作业在结构完整性方面表现尚可，基本框架已搭建。主要优点在于对个人能力进行了初步盘点，并对未来规划方向有所列举，显示出一定的思考。然而，作业存在明显不足：内容整体较为浅显，缺乏深度分析。具体而言，职业选择的缘起部分缺乏具体事例或数据支撑，说服力不强；自我认知与行业分析部分过于简略，未能深入剖析个人特质与职业要求的匹配度；最为突出的问题是能力提升计划与风险应对策略部分严重缺失或论证不足，导致整个规划的可执行性与弹性较弱。建议你后续能结合可靠的行业信息，深化对目标职业的认知；在能力盘点部分，尝试使用如SWOT分析等工具进行更系统的评估；并务必补充具体、分阶段的能力提升措施以及潜在风险的应对方案，使规划更具指导意义。</t>
        </is>
      </c>
      <c r="J15" s="10" t="n"/>
      <c r="K15" s="13" t="inlineStr">
        <is>
          <t>mean</t>
        </is>
      </c>
      <c r="L15" s="13" t="n"/>
      <c r="M15" s="16">
        <f>HYPERLINK("#'细则明细'!A100","查看")</f>
        <v/>
      </c>
    </row>
    <row r="16">
      <c r="A16" s="13" t="inlineStr">
        <is>
          <t>成功</t>
        </is>
      </c>
      <c r="B16" s="14" t="n">
        <v>26.83</v>
      </c>
      <c r="C16" s="13" t="inlineStr">
        <is>
          <t>叶威佳</t>
        </is>
      </c>
      <c r="D16" s="13" t="inlineStr">
        <is>
          <t>202502210216</t>
        </is>
      </c>
      <c r="E16" s="10" t="inlineStr">
        <is>
          <t>15-25物联网工程1班叶威佳202502210216职业规划书.docx</t>
        </is>
      </c>
      <c r="F16" s="13" t="n">
        <v>2</v>
      </c>
      <c r="G16" s="13" t="n">
        <v>0</v>
      </c>
      <c r="H16" s="15">
        <f>IF((F16+G16)=0,"",F16/(F16+G16))</f>
        <v/>
      </c>
      <c r="I16" s="10" t="inlineStr">
        <is>
          <t>本次职业规划作业提交了完整的结构框架，值得肯定。主要优点在于对个人能力盘点和成长路径进行了初步梳理，展现了基本的规划意识。然而，作业存在明显的不足之处：内容深度普遍欠缺，例如职业缘起部分缺乏具体事例支撑，自我认知与职业目标的逻辑关联较弱，对行业与职业的分析也过于简略。更突出的问题是，全文完全缺失对潜在风险的评估，导致规划显得僵化、弹性不足。建议你后续着重深化具体内容，为每个分析环节补充详实的个人经历或调研数据，并务必增设风险评估与应对策略部分，以增强规划的可信度与可执行性。</t>
        </is>
      </c>
      <c r="J16" s="10" t="n"/>
      <c r="K16" s="13" t="inlineStr">
        <is>
          <t>mean</t>
        </is>
      </c>
      <c r="L16" s="13" t="n"/>
      <c r="M16" s="16">
        <f>HYPERLINK("#'细则明细'!A111","查看")</f>
        <v/>
      </c>
    </row>
    <row r="17">
      <c r="A17" s="13" t="inlineStr">
        <is>
          <t>成功</t>
        </is>
      </c>
      <c r="B17" s="14" t="n">
        <v>23.17</v>
      </c>
      <c r="C17" s="13" t="inlineStr">
        <is>
          <t>物联网工程李金瀚</t>
        </is>
      </c>
      <c r="D17" s="13" t="inlineStr">
        <is>
          <t>202502210073</t>
        </is>
      </c>
      <c r="E17" s="10" t="inlineStr">
        <is>
          <t>16-物联网工程1班李金瀚202502210073职业规划书.docx</t>
        </is>
      </c>
      <c r="F17" s="13" t="n">
        <v>2</v>
      </c>
      <c r="G17" s="13" t="n">
        <v>0</v>
      </c>
      <c r="H17" s="15">
        <f>IF((F17+G17)=0,"",F17/(F17+G17))</f>
        <v/>
      </c>
      <c r="I17" s="10" t="inlineStr">
        <is>
          <t>本次职业生涯规划作业在结构完整性方面表现尚可，基本框架已搭建。主要优点在于成长路径部分有较为详细的设想，显示出一定的规划意识。然而，作业存在明显不足：内容深度普遍欠缺，职业缘起叙述过于简单，自我认知部分表述矛盾且缺乏具体事例支撑，能力盘点偏向消极而未与职业目标建立有效关联，对行业与目标职业的认知几乎空白，风险应对部分完全缺失。整体来看，规划的逻辑性、具体性和可执行性均有待大幅提升。建议你：首先，深入调研意向行业与职业，补充具体的岗位认知；其次，基于客观事实（如经历、技能）重新进行自我评估，建立优势、短板与目标之间的逻辑链条；最后，务必补充风险评估与应对策略，使规划更为周全。</t>
        </is>
      </c>
      <c r="J17" s="10" t="n"/>
      <c r="K17" s="13" t="inlineStr">
        <is>
          <t>mean</t>
        </is>
      </c>
      <c r="L17" s="13" t="n"/>
      <c r="M17" s="16">
        <f>HYPERLINK("#'细则明细'!A122","查看")</f>
        <v/>
      </c>
    </row>
    <row r="18">
      <c r="A18" s="13" t="inlineStr">
        <is>
          <t>成功</t>
        </is>
      </c>
      <c r="B18" s="14" t="n">
        <v>25.61</v>
      </c>
      <c r="C18" s="13" t="n"/>
      <c r="D18" s="13" t="n"/>
      <c r="E18" s="10" t="inlineStr">
        <is>
          <t>17-2025物联网工程一班李锐佳职业规划书.docx</t>
        </is>
      </c>
      <c r="F18" s="13" t="n">
        <v>2</v>
      </c>
      <c r="G18" s="13" t="n">
        <v>0</v>
      </c>
      <c r="H18" s="15">
        <f>IF((F18+G18)=0,"",F18/(F18+G18))</f>
        <v/>
      </c>
      <c r="I18" s="10" t="inlineStr">
        <is>
          <t>本次职业规划作业展现了良好的结构意识，目标岗位设定明确，整体框架清晰。主要优点在于规划书的结构完整，对职业目标有基本的方向性认识。然而，不足之处也较为明显：首先，内容深度普遍不足，尤其在职业缘起和能力基础部分，叙述较为笼统，缺乏具体事例和深入分析，未能充分论证个人能力与目标岗位的匹配性；其次，成长路径部分虽有框架，但关键细节缺失，可操作性不强；最为突出的问题是风险应对部分完全空白，这严重影响了规划的完整性与可行性。建议你：第一，对每一部分内容进行深化，补充具体的个人经历、技能证据和详细实施步骤，增强说服力；第二，务必补全对潜在职业风险的识别与应对策略，这是职业规划不可或缺的一环。</t>
        </is>
      </c>
      <c r="J18" s="10" t="n"/>
      <c r="K18" s="13" t="inlineStr">
        <is>
          <t>mean</t>
        </is>
      </c>
      <c r="L18" s="13" t="n"/>
      <c r="M18" s="16">
        <f>HYPERLINK("#'细则明细'!A133","查看")</f>
        <v/>
      </c>
    </row>
    <row r="19">
      <c r="A19" s="13" t="inlineStr">
        <is>
          <t>失败</t>
        </is>
      </c>
      <c r="B19" s="13" t="n"/>
      <c r="C19" s="13" t="n"/>
      <c r="D19" s="13" t="n"/>
      <c r="E19" s="10" t="inlineStr">
        <is>
          <t>18-202502210117何思达《专业认知实践》课程报告.doc.docx</t>
        </is>
      </c>
      <c r="F19" s="13" t="n">
        <v>0</v>
      </c>
      <c r="G19" s="13" t="n">
        <v>0</v>
      </c>
      <c r="H19" s="15">
        <f>IF((F19+G19)=0,"",F19/(F19+G19))</f>
        <v/>
      </c>
      <c r="I19" s="10" t="n"/>
      <c r="J19" s="10" t="inlineStr">
        <is>
          <t>作业文件名未匹配到任何分类关键字，请检查文件名是否包含分类列表名称。</t>
        </is>
      </c>
      <c r="K19" s="13" t="inlineStr">
        <is>
          <t>mean</t>
        </is>
      </c>
      <c r="L19" s="13" t="n"/>
      <c r="M19" s="13" t="n"/>
    </row>
    <row r="20">
      <c r="A20" s="13" t="inlineStr">
        <is>
          <t>成功</t>
        </is>
      </c>
      <c r="B20" s="14" t="n">
        <v>46.34</v>
      </c>
      <c r="C20" s="13" t="inlineStr">
        <is>
          <t>赵晓彤</t>
        </is>
      </c>
      <c r="D20" s="13" t="inlineStr">
        <is>
          <t>202502210078</t>
        </is>
      </c>
      <c r="E20" s="10" t="inlineStr">
        <is>
          <t>19-25物联网工程1班赵晓彤202502210078职业规划书.docx</t>
        </is>
      </c>
      <c r="F20" s="13" t="n">
        <v>2</v>
      </c>
      <c r="G20" s="13" t="n">
        <v>0</v>
      </c>
      <c r="H20" s="15">
        <f>IF((F20+G20)=0,"",F20/(F20+G20))</f>
        <v/>
      </c>
      <c r="I20" s="10" t="inlineStr">
        <is>
          <t>本次职业规划作业展现了较好的结构完整性，职业目标设定明确，对目标行业与岗位具备基础认知，这是值得肯定的优点。然而，作业在深度与细节上存在明显不足：职业缘起的叙述较为空泛，缺乏具体事例或信息来源支撑；自我特征分析未能与职业测试结论形成有效关联，导致个人能力与目标岗位的匹配性论证薄弱；更为关键的是，风险评估与备选方案部分完全缺失，成长路径中的短期目标也不够具体，这严重影响了规划的逻辑严谨性与前瞻性。建议你后续补充具体案例来充实职业选择缘由，强化自我盘点与职业目标的逻辑链条，并务必系统性地增补风险评估及应对策略，使规划更具实操价值。</t>
        </is>
      </c>
      <c r="J20" s="10" t="n"/>
      <c r="K20" s="13" t="inlineStr">
        <is>
          <t>mean</t>
        </is>
      </c>
      <c r="L20" s="13" t="n"/>
      <c r="M20" s="16">
        <f>HYPERLINK("#'细则明细'!A144","查看")</f>
        <v/>
      </c>
    </row>
    <row r="21">
      <c r="A21" s="13" t="inlineStr">
        <is>
          <t>成功</t>
        </is>
      </c>
      <c r="B21" s="14" t="n">
        <v>22.36</v>
      </c>
      <c r="C21" s="13" t="inlineStr">
        <is>
          <t>薛慧珊</t>
        </is>
      </c>
      <c r="D21" s="13" t="inlineStr">
        <is>
          <t>20250221099</t>
        </is>
      </c>
      <c r="E21" s="10" t="inlineStr">
        <is>
          <t>20-25物联网工程1班+薛慧珊+20250221099+职业规划书.docx</t>
        </is>
      </c>
      <c r="F21" s="13" t="n">
        <v>2</v>
      </c>
      <c r="G21" s="13" t="n">
        <v>0</v>
      </c>
      <c r="H21" s="15">
        <f>IF((F21+G21)=0,"",F21/(F21+G21))</f>
        <v/>
      </c>
      <c r="I21" s="10" t="inlineStr">
        <is>
          <t>本次职业规划作业在结构框架上基本完整，职业目标与行业选择较为明确，自我认知部分也进行了初步梳理，这是值得肯定的基础。然而，作业存在明显的不足：内容普遍流于表面，对职业的认知深度不足，多个关键部分如能力匹配分析、成长路径设计以及风险评估等，或阐述简略，或完全缺失，导致规划的可操作性与说服力不强。建议你后续重点补充对目标岗位所需核心能力的详细调研，并结合自身现状制定具体、分阶段的提升计划；同时，务必增加对潜在风险的评估与应对策略，使规划更具现实指导意义。</t>
        </is>
      </c>
      <c r="J21" s="10" t="n"/>
      <c r="K21" s="13" t="inlineStr">
        <is>
          <t>mean</t>
        </is>
      </c>
      <c r="L21" s="13" t="n"/>
      <c r="M21" s="16">
        <f>HYPERLINK("#'细则明细'!A155","查看")</f>
        <v/>
      </c>
    </row>
    <row r="22">
      <c r="A22" s="13" t="inlineStr">
        <is>
          <t>成功</t>
        </is>
      </c>
      <c r="B22" s="14" t="n">
        <v>81.91</v>
      </c>
      <c r="C22" s="13" t="inlineStr">
        <is>
          <t>莫梓晴</t>
        </is>
      </c>
      <c r="D22" s="13" t="inlineStr">
        <is>
          <t>2025022101850</t>
        </is>
      </c>
      <c r="E22" s="10" t="inlineStr">
        <is>
          <t>21-25物联网工程1班莫梓晴2025022101850职业规划书.docx</t>
        </is>
      </c>
      <c r="F22" s="13" t="n">
        <v>2</v>
      </c>
      <c r="G22" s="13" t="n">
        <v>0</v>
      </c>
      <c r="H22" s="15">
        <f>IF((F22+G22)=0,"",F22/(F22+G22))</f>
        <v/>
      </c>
      <c r="I22" s="10" t="inlineStr">
        <is>
          <t>本次职业生涯规划书作业整体完成质量良好。优点在于规划书结构完整、逻辑清晰，对自我认知、外部环境分析和发展路径进行了系统阐述，内容详实，目标明确，尤其在能力差距分析和具体提升计划上表现出色。不足之处在于，对行业与职业的认知深度有待加强，部分能力支撑的细节可以更具体，同时风险评估的全面性及应对策略的针对性尚有提升空间。建议后续可深入研读行业报告，细化关键能力的提升步骤，并针对潜在风险设计更具体的预案。</t>
        </is>
      </c>
      <c r="J22" s="10" t="n"/>
      <c r="K22" s="13" t="inlineStr">
        <is>
          <t>mean</t>
        </is>
      </c>
      <c r="L22" s="13" t="n"/>
      <c r="M22" s="16">
        <f>HYPERLINK("#'细则明细'!A166","查看")</f>
        <v/>
      </c>
    </row>
    <row r="23">
      <c r="A23" s="13" t="inlineStr">
        <is>
          <t>成功</t>
        </is>
      </c>
      <c r="B23" s="14" t="n">
        <v>43.3</v>
      </c>
      <c r="C23" s="13" t="inlineStr">
        <is>
          <t>物联网工程梁欣然</t>
        </is>
      </c>
      <c r="D23" s="13" t="inlineStr">
        <is>
          <t>20250220105</t>
        </is>
      </c>
      <c r="E23" s="10" t="inlineStr">
        <is>
          <t>22-物联网工程1班梁欣然20250220105职业规划书.docx</t>
        </is>
      </c>
      <c r="F23" s="13" t="n">
        <v>2</v>
      </c>
      <c r="G23" s="13" t="n">
        <v>0</v>
      </c>
      <c r="H23" s="15">
        <f>IF((F23+G23)=0,"",F23/(F23+G23))</f>
        <v/>
      </c>
      <c r="I23" s="10" t="inlineStr">
        <is>
          <t>本次职业生涯规划书作业展现了良好的结构意识和逻辑组织能力。自我探索部分能结合性格测试等工具进行深入分析，外部分析也注意到了政策与行业等宏观依据，职业目标较为明确，路径规划也具备一定的具体性。然而，作业在内容完整性与深度上仍有明显不足。部分关键评分细则的内容存在缺失或过于笼统，例如职业选择的深层缘起、对目标行业的认知深度、支撑目标的具体能力分析以及风险应对的具体策略等方面均显薄弱，这直接影响了作业的整体质量。建议你对照作业要求的具体评分点，逐一核查并补充缺失内容，尤其在行业认知和可行性分析部分，应结合更具体的市场数据、岗位能力模型进行深化，使规划更具说服力和可操作性。</t>
        </is>
      </c>
      <c r="J23" s="10" t="n"/>
      <c r="K23" s="13" t="inlineStr">
        <is>
          <t>mean</t>
        </is>
      </c>
      <c r="L23" s="13" t="n"/>
      <c r="M23" s="16">
        <f>HYPERLINK("#'细则明细'!A177","查看")</f>
        <v/>
      </c>
    </row>
    <row r="24">
      <c r="A24" s="13" t="inlineStr">
        <is>
          <t>成功</t>
        </is>
      </c>
      <c r="B24" s="14" t="n">
        <v>87.75</v>
      </c>
      <c r="C24" s="13" t="inlineStr">
        <is>
          <t>冯堃梅</t>
        </is>
      </c>
      <c r="D24" s="13" t="inlineStr">
        <is>
          <t>202502210128</t>
        </is>
      </c>
      <c r="E24" s="10" t="inlineStr">
        <is>
          <t>23-25物联网工程1班冯堃梅202502210128专业分析报告.docx</t>
        </is>
      </c>
      <c r="F24" s="13" t="n">
        <v>2</v>
      </c>
      <c r="G24" s="13" t="n">
        <v>0</v>
      </c>
      <c r="H24" s="15">
        <f>IF((F24+G24)=0,"",F24/(F24+G24))</f>
        <v/>
      </c>
      <c r="I24" s="10" t="inlineStr">
        <is>
          <t>本次作业《物联网与网络工程行业分析报告》整体完成质量较高。优点在于报告结构清晰，逻辑性强，对两个目标行业的现状、趋势及AI影响均进行了较为详实的调研与分析，数据支撑较为充分，职业规划部分也较为具体。不足之处在于，部分分析内容的深度有待加强，例如对物联网行业潜在负面影响的探讨不够全面；同时，报告在语言表达上存在一定的重复现象，且正文字数略显不足，影响了论述的充分性。建议未来在确保内容全面的基础上，进一步深化关键议题的剖析，并注重语言的精炼与表达的准确性，以提升报告的整体深度与专业性。</t>
        </is>
      </c>
      <c r="J24" s="10" t="n"/>
      <c r="K24" s="13" t="inlineStr">
        <is>
          <t>mean</t>
        </is>
      </c>
      <c r="L24" s="13" t="n"/>
      <c r="M24" s="16">
        <f>HYPERLINK("#'细则明细'!A188","查看")</f>
        <v/>
      </c>
    </row>
    <row r="25">
      <c r="A25" s="13" t="inlineStr">
        <is>
          <t>成功</t>
        </is>
      </c>
      <c r="B25" s="14" t="n">
        <v>88.5</v>
      </c>
      <c r="C25" s="13" t="n"/>
      <c r="D25" s="13" t="n"/>
      <c r="E25" s="10" t="inlineStr">
        <is>
          <t>24-25物联网工程1班肖子妤物联网工程专业分析报告.docx</t>
        </is>
      </c>
      <c r="F25" s="13" t="n">
        <v>2</v>
      </c>
      <c r="G25" s="13" t="n">
        <v>0</v>
      </c>
      <c r="H25" s="15">
        <f>IF((F25+G25)=0,"",F25/(F25+G25))</f>
        <v/>
      </c>
      <c r="I25" s="10" t="inlineStr">
        <is>
          <t>本次作业报告结构完整，内容详实，对物联网行业的现状梳理数据详实，趋势判断具备一定的逻辑支撑。在AI影响分析部分能够做到具体且量化，岗位认知也较为清晰，体现了较好的专业分析能力。然而，报告在部分分析的深度上仍有提升空间，例如行业趋势判断的逻辑链条可以更严密，风险缓解建议稍显笼统，语言表达偶有冗余。建议未来在论证的严密性和建议的具体性上多下功夫，例如在薪资分析中可进一步考虑地域与公司类型的差异，使报告更具洞察力和实践指导价值。</t>
        </is>
      </c>
      <c r="J25" s="10" t="n"/>
      <c r="K25" s="13" t="inlineStr">
        <is>
          <t>mean</t>
        </is>
      </c>
      <c r="L25" s="13" t="n"/>
      <c r="M25" s="16">
        <f>HYPERLINK("#'细则明细'!A196","查看")</f>
        <v/>
      </c>
    </row>
    <row r="26">
      <c r="A26" s="13" t="inlineStr">
        <is>
          <t>成功</t>
        </is>
      </c>
      <c r="B26" s="14" t="n">
        <v>20.73</v>
      </c>
      <c r="C26" s="13" t="inlineStr">
        <is>
          <t>伍峙崧</t>
        </is>
      </c>
      <c r="D26" s="13" t="inlineStr">
        <is>
          <t>202302051618</t>
        </is>
      </c>
      <c r="E26" s="10" t="inlineStr">
        <is>
          <t>25-25物联网工程1班伍峙崧202302051618职业规划书.docx</t>
        </is>
      </c>
      <c r="F26" s="13" t="n">
        <v>2</v>
      </c>
      <c r="G26" s="13" t="n">
        <v>0</v>
      </c>
      <c r="H26" s="15">
        <f>IF((F26+G26)=0,"",F26/(F26+G26))</f>
        <v/>
      </c>
      <c r="I26" s="10" t="inlineStr">
        <is>
          <t>本次提交的职业规划书在结构框架上基本完整，能够按照常见模块进行组织，这是值得肯定的基础。然而，作业内容存在明显的共性问题：论述普遍流于表面，缺乏深入的自我剖析和扎实的行业研究。具体而言，职业缘起部分过于简略，未能充分展现个人动机；自我认知与能力分析部分，虽有列举但未能有效论证其与目标职业的匹配度；成长路径和风险应对的设想则较为笼统，可操作性与现实考量不足。整体来看，规划书更像是一个初步提纲，离一份详实、可信、可执行的方案尚有较大距离。建议你后续着重从以下两方面改进：一是大量补充具体的个人经历事实、行业数据或案例作为论述支撑，增强说服力；二是加强各部分内容之间的逻辑连贯性，特别是自我能力与职业要求、阶段性目标与行动措施之间的内在联系，使规划成为一个有机整体。</t>
        </is>
      </c>
      <c r="J26" s="10" t="n"/>
      <c r="K26" s="13" t="inlineStr">
        <is>
          <t>mean</t>
        </is>
      </c>
      <c r="L26" s="13" t="n"/>
      <c r="M26" s="16">
        <f>HYPERLINK("#'细则明细'!A204","查看")</f>
        <v/>
      </c>
    </row>
    <row r="27">
      <c r="A27" s="13" t="inlineStr">
        <is>
          <t>失败</t>
        </is>
      </c>
      <c r="B27" s="13" t="n"/>
      <c r="C27" s="13" t="n"/>
      <c r="D27" s="13" t="n"/>
      <c r="E27" s="10" t="inlineStr">
        <is>
          <t>26-25物联网工程1班 付豪 202502210063 职业生涯规划报告.docx</t>
        </is>
      </c>
      <c r="F27" s="13" t="n">
        <v>0</v>
      </c>
      <c r="G27" s="13" t="n">
        <v>0</v>
      </c>
      <c r="H27" s="15">
        <f>IF((F27+G27)=0,"",F27/(F27+G27))</f>
        <v/>
      </c>
      <c r="I27" s="10" t="n"/>
      <c r="J27" s="10" t="inlineStr">
        <is>
          <t>作业文件名未匹配到任何分类关键字，请检查文件名是否包含分类列表名称。</t>
        </is>
      </c>
      <c r="K27" s="13" t="inlineStr">
        <is>
          <t>mean</t>
        </is>
      </c>
      <c r="L27" s="13" t="n"/>
      <c r="M27" s="13" t="n"/>
    </row>
    <row r="28">
      <c r="A28" s="13" t="inlineStr">
        <is>
          <t>成功</t>
        </is>
      </c>
      <c r="B28" s="14" t="n">
        <v>53.66</v>
      </c>
      <c r="C28" s="13" t="inlineStr">
        <is>
          <t>王敬丹</t>
        </is>
      </c>
      <c r="D28" s="13" t="inlineStr">
        <is>
          <t>202502210192</t>
        </is>
      </c>
      <c r="E28" s="10" t="inlineStr">
        <is>
          <t>27-25物联网工程1班+王敬丹+202502210192+职业规划书_QQ浏览器转格式.docx</t>
        </is>
      </c>
      <c r="F28" s="13" t="n">
        <v>2</v>
      </c>
      <c r="G28" s="13" t="n">
        <v>0</v>
      </c>
      <c r="H28" s="15">
        <f>IF((F28+G28)=0,"",F28/(F28+G28))</f>
        <v/>
      </c>
      <c r="I28" s="10" t="inlineStr">
        <is>
          <t>本次职业生涯规划作业展现了较好的整体框架意识，结构较为完整，职业目标设定明确，对AIoT工程师等目标岗位的职责与要求有基本认知。职业发展路径的规划步骤具体，体现了初步的逻辑思考与可执行性。然而，作业在关键环节的深度与完整性上存在明显不足：一是职业选择的缘起部分，过多依赖理论化的性格测试结果，缺乏结合个人真实经历与体验的生动阐述，说服力较弱；二是对行业与职业的认知分析，信息来源未作说明，导致分析停留在表面，深度不够；三是风险评估与应对策略部分完全缺失，这是规划类文档的重大缺陷。建议你：首先，补充个人与职业选择相关的具体故事或事件，增强规划的个性化与真实感；其次，在行业分析部分，明确引用可靠的资料或数据来源，并进行更深入的剖析；最后，务必增补对潜在职业风险的识别以及具体的应对预案，使规划更为周全。</t>
        </is>
      </c>
      <c r="J28" s="10" t="n"/>
      <c r="K28" s="13" t="inlineStr">
        <is>
          <t>mean</t>
        </is>
      </c>
      <c r="L28" s="13" t="n"/>
      <c r="M28" s="16">
        <f>HYPERLINK("#'细则明细'!A215","查看")</f>
        <v/>
      </c>
    </row>
    <row r="29">
      <c r="A29" s="13" t="inlineStr">
        <is>
          <t>成功</t>
        </is>
      </c>
      <c r="B29" s="14" t="n">
        <v>23.98</v>
      </c>
      <c r="C29" s="13" t="inlineStr">
        <is>
          <t>左松铭</t>
        </is>
      </c>
      <c r="D29" s="13" t="inlineStr">
        <is>
          <t>202502210171</t>
        </is>
      </c>
      <c r="E29" s="10" t="inlineStr">
        <is>
          <t>28-25物联网工程1班左松铭202502210171+职业规划书.docx</t>
        </is>
      </c>
      <c r="F29" s="13" t="n">
        <v>2</v>
      </c>
      <c r="G29" s="13" t="n">
        <v>0</v>
      </c>
      <c r="H29" s="15">
        <f>IF((F29+G29)=0,"",F29/(F29+G29))</f>
        <v/>
      </c>
      <c r="I29" s="10" t="inlineStr">
        <is>
          <t>本次职业规划作业在结构完整性方面表现尚可，能够按照基本框架进行组织。优点在于对个人能力与职业目标之间的关联性进行了初步思考，展现出一定的规划意识。然而，作业存在明显不足：内容普遍缺乏深度与具体细节，职业缘起、自我认知及行业分析等核心部分过于简略；成长路径与风险应对部分尤为薄弱，目标设定笼统，可执行性与规划弹性严重不足。建议你首先深入进行自我剖析和行业调研，用具体事例和数据支撑观点；其次，将长期目标分解为可量化、有时限的短期行动计划；最后，务必补充对潜在风险的识别与应对策略，使规划更具现实指导意义。</t>
        </is>
      </c>
      <c r="J29" s="10" t="n"/>
      <c r="K29" s="13" t="inlineStr">
        <is>
          <t>mean</t>
        </is>
      </c>
      <c r="L29" s="13" t="n"/>
      <c r="M29" s="16">
        <f>HYPERLINK("#'细则明细'!A226","查看")</f>
        <v/>
      </c>
    </row>
    <row r="30">
      <c r="A30" s="13" t="inlineStr">
        <is>
          <t>失败</t>
        </is>
      </c>
      <c r="B30" s="13" t="n"/>
      <c r="C30" s="13" t="n"/>
      <c r="D30" s="13" t="n"/>
      <c r="E30" s="10" t="inlineStr">
        <is>
          <t>29-202502210191刘青林.docx</t>
        </is>
      </c>
      <c r="F30" s="13" t="n">
        <v>0</v>
      </c>
      <c r="G30" s="13" t="n">
        <v>0</v>
      </c>
      <c r="H30" s="15">
        <f>IF((F30+G30)=0,"",F30/(F30+G30))</f>
        <v/>
      </c>
      <c r="I30" s="10" t="n"/>
      <c r="J30" s="10" t="inlineStr">
        <is>
          <t>作业文件名未匹配到任何分类关键字，请检查文件名是否包含分类列表名称。</t>
        </is>
      </c>
      <c r="K30" s="13" t="inlineStr">
        <is>
          <t>mean</t>
        </is>
      </c>
      <c r="L30" s="13" t="n"/>
      <c r="M30" s="13" t="n"/>
    </row>
    <row r="31">
      <c r="A31" s="13" t="inlineStr">
        <is>
          <t>成功</t>
        </is>
      </c>
      <c r="B31" s="14" t="n">
        <v>87.5</v>
      </c>
      <c r="C31" s="13" t="inlineStr">
        <is>
          <t>刘星宇</t>
        </is>
      </c>
      <c r="D31" s="13" t="inlineStr">
        <is>
          <t>202502210180</t>
        </is>
      </c>
      <c r="E31" s="10" t="inlineStr">
        <is>
          <t>30-25物联网一班刘星宇202502210180专业分析报告.docx</t>
        </is>
      </c>
      <c r="F31" s="13" t="n">
        <v>2</v>
      </c>
      <c r="G31" s="13" t="n">
        <v>0</v>
      </c>
      <c r="H31" s="15">
        <f>IF((F31+G31)=0,"",F31/(F31+G31))</f>
        <v/>
      </c>
      <c r="I31" s="10" t="inlineStr">
        <is>
          <t>本次作业整体完成度较高，展现了良好的专业素养。优点在于报告结构完整，逻辑清晰，对物联网行业的现状、趋势及企业案例进行了较为深入和具体的分析，数据详实，论证有力。同时，关于AI技术影响的思考较为全面，个人职业定位也较为清晰。不足之处在于，部分关键分析（如行业痛点、AI的潜在负面影响及其缓解策略）的深度有待加强，论证的证据链条可以更紧密，部分量化价值的阐述也略显笼统。建议未来在深化核心论点时，可进一步挖掘一手数据或行业报告，并尝试构建更严谨的因果逻辑，使结论更具说服力。</t>
        </is>
      </c>
      <c r="J31" s="10" t="n"/>
      <c r="K31" s="13" t="inlineStr">
        <is>
          <t>mean</t>
        </is>
      </c>
      <c r="L31" s="13" t="n"/>
      <c r="M31" s="16">
        <f>HYPERLINK("#'细则明细'!A237","查看")</f>
        <v/>
      </c>
    </row>
    <row r="32">
      <c r="A32" s="13" t="inlineStr">
        <is>
          <t>成功</t>
        </is>
      </c>
      <c r="B32" s="14" t="n">
        <v>14.23</v>
      </c>
      <c r="C32" s="13" t="inlineStr">
        <is>
          <t>张景沅</t>
        </is>
      </c>
      <c r="D32" s="13" t="inlineStr">
        <is>
          <t>202502210155</t>
        </is>
      </c>
      <c r="E32" s="10" t="inlineStr">
        <is>
          <t>31-25物联网工程1班+张景沅+202502210155+职业规划书.docx</t>
        </is>
      </c>
      <c r="F32" s="13" t="n">
        <v>2</v>
      </c>
      <c r="G32" s="13" t="n">
        <v>0</v>
      </c>
      <c r="H32" s="15">
        <f>IF((F32+G32)=0,"",F32/(F32+G32))</f>
        <v/>
      </c>
      <c r="I32" s="10" t="inlineStr">
        <is>
          <t>本次职业规划作业结构框架基本完整，但内容质量亟待提升。主要优点在于能够按照规划书的基本格式搭建框架，显示出对作业要求的初步理解。然而，不足之处非常明显：内容普遍空泛、严重缺乏深度和具体细节。例如，职业缘起部分叙述简略，自我认知与行业分析严重不足，能力盘点与目标岗位的匹配性论证薄弱，成长路径和风险应对计划几乎空白或过于笼统，导致整个规划的可执行性很差。建议你：第一，进行深入的自我剖析和扎实的行业调研，用具体事实和数据支撑你的认知与选择；第二，详细规划每一步的成长路径，包括具体的时间节点、要获取的技能或资格，并思考切实可行的风险应对策略。</t>
        </is>
      </c>
      <c r="J32" s="10" t="n"/>
      <c r="K32" s="13" t="inlineStr">
        <is>
          <t>mean</t>
        </is>
      </c>
      <c r="L32" s="13" t="n"/>
      <c r="M32" s="16">
        <f>HYPERLINK("#'细则明细'!A245","查看")</f>
        <v/>
      </c>
    </row>
    <row r="33">
      <c r="A33" s="13" t="inlineStr">
        <is>
          <t>成功</t>
        </is>
      </c>
      <c r="B33" s="14" t="n">
        <v>95.25</v>
      </c>
      <c r="C33" s="13" t="inlineStr">
        <is>
          <t>谢烁宇</t>
        </is>
      </c>
      <c r="D33" s="13" t="inlineStr">
        <is>
          <t>202502210160</t>
        </is>
      </c>
      <c r="E33" s="10" t="inlineStr">
        <is>
          <t>32-25物联网工程1班 谢烁宇 202502210160 专业分析报告.docx</t>
        </is>
      </c>
      <c r="F33" s="13" t="n">
        <v>2</v>
      </c>
      <c r="G33" s="13" t="n">
        <v>0</v>
      </c>
      <c r="H33" s="15">
        <f>IF((F33+G33)=0,"",F33/(F33+G33))</f>
        <v/>
      </c>
      <c r="I33" s="10" t="inlineStr">
        <is>
          <t>本份专业分析报告整体质量较高。优点在于报告结构完整、逻辑清晰，行业分析部分数据详实、支撑有力，对AI影响的探讨能够做到辩证深入，提出的个人职业规划也较为具体可行，语言表达流畅，格式规范。不足之处在于，对行业现状中核心竞争格局或生态系统的宏观分析可以进一步加强深度与广度；此外，在岗位认知部分，对具体职责与职业成长路径的阐述可以更加细致和具体。建议未来在类似的分析中，加强对行业关键参与者和产业链结构的宏观梳理，并尝试结合更具体的岗位信息来深化对职业路径的理解与规划。</t>
        </is>
      </c>
      <c r="J33" s="10" t="n"/>
      <c r="K33" s="13" t="inlineStr">
        <is>
          <t>mean</t>
        </is>
      </c>
      <c r="L33" s="13" t="n"/>
      <c r="M33" s="16">
        <f>HYPERLINK("#'细则明细'!A256","查看")</f>
        <v/>
      </c>
    </row>
    <row r="34">
      <c r="A34" s="13" t="inlineStr">
        <is>
          <t>成功</t>
        </is>
      </c>
      <c r="B34" s="14" t="n">
        <v>58</v>
      </c>
      <c r="C34" s="13" t="inlineStr">
        <is>
          <t>李昕锐</t>
        </is>
      </c>
      <c r="D34" s="13" t="inlineStr">
        <is>
          <t>202502210109</t>
        </is>
      </c>
      <c r="E34" s="10" t="inlineStr">
        <is>
          <t>33-2025物联网工程1班李昕锐202502210109专业分析报告.docx</t>
        </is>
      </c>
      <c r="F34" s="13" t="n">
        <v>2</v>
      </c>
      <c r="G34" s="13" t="n">
        <v>0</v>
      </c>
      <c r="H34" s="15">
        <f>IF((F34+G34)=0,"",F34/(F34+G34))</f>
        <v/>
      </c>
      <c r="I34" s="10" t="inlineStr">
        <is>
          <t>本次作业对物联网行业的宏观认知较为清晰，专业理解也体现出一定的深度，特别是在分析AI对行业的影响时展现了辩证思考的能力，职业定位也结合了专业特点，这些都是值得肯定的优点。然而，作业也存在明显的不足之处：行业现状的梳理缺乏具体数据和可靠来源的支撑，使得论述的说服力不足；趋势分析的逻辑链条不够紧密，部分判断显得较为笼统；此外，报告在结构完整性和细节论证上仍有提升空间，例如岗位认知部分未能深入结合个人情况进行匹配分析。建议在今后的作业中，加强对行业数据的搜集与引用，构建更严谨的分析逻辑，并在论述中补充更多具体的细节和实例来支撑观点，使报告更加扎实、有深度。</t>
        </is>
      </c>
      <c r="J34" s="10" t="n"/>
      <c r="K34" s="13" t="inlineStr">
        <is>
          <t>mean</t>
        </is>
      </c>
      <c r="L34" s="13" t="n"/>
      <c r="M34" s="16">
        <f>HYPERLINK("#'细则明细'!A264","查看")</f>
        <v/>
      </c>
    </row>
    <row r="35">
      <c r="A35" s="13" t="inlineStr">
        <is>
          <t>失败</t>
        </is>
      </c>
      <c r="B35" s="13" t="n"/>
      <c r="C35" s="13" t="n"/>
      <c r="D35" s="13" t="n"/>
      <c r="E35" s="10" t="inlineStr">
        <is>
          <t>34-202502210120洪嘉兴《专业认知实践》课程报告.doc(2).docx</t>
        </is>
      </c>
      <c r="F35" s="13" t="n">
        <v>0</v>
      </c>
      <c r="G35" s="13" t="n">
        <v>0</v>
      </c>
      <c r="H35" s="15">
        <f>IF((F35+G35)=0,"",F35/(F35+G35))</f>
        <v/>
      </c>
      <c r="I35" s="10" t="n"/>
      <c r="J35" s="10" t="inlineStr">
        <is>
          <t>作业文件名未匹配到任何分类关键字，请检查文件名是否包含分类列表名称。</t>
        </is>
      </c>
      <c r="K35" s="13" t="inlineStr">
        <is>
          <t>mean</t>
        </is>
      </c>
      <c r="L35" s="13" t="n"/>
      <c r="M35" s="13" t="n"/>
    </row>
    <row r="36">
      <c r="A36" s="13" t="inlineStr">
        <is>
          <t>失败</t>
        </is>
      </c>
      <c r="B36" s="13" t="n"/>
      <c r="C36" s="13" t="n"/>
      <c r="D36" s="13" t="n"/>
      <c r="E36" s="10" t="inlineStr">
        <is>
          <t>35-202502210181邓蔚其.doc.docx</t>
        </is>
      </c>
      <c r="F36" s="13" t="n">
        <v>0</v>
      </c>
      <c r="G36" s="13" t="n">
        <v>0</v>
      </c>
      <c r="H36" s="15">
        <f>IF((F36+G36)=0,"",F36/(F36+G36))</f>
        <v/>
      </c>
      <c r="I36" s="10" t="n"/>
      <c r="J36" s="10" t="inlineStr">
        <is>
          <t>作业文件名未匹配到任何分类关键字，请检查文件名是否包含分类列表名称。</t>
        </is>
      </c>
      <c r="K36" s="13" t="inlineStr">
        <is>
          <t>mean</t>
        </is>
      </c>
      <c r="L36" s="13" t="n"/>
      <c r="M36" s="13" t="n"/>
    </row>
    <row r="37">
      <c r="A37" s="13" t="inlineStr">
        <is>
          <t>失败</t>
        </is>
      </c>
      <c r="B37" s="13" t="n"/>
      <c r="C37" s="13" t="n"/>
      <c r="D37" s="13" t="n"/>
      <c r="E37" s="10" t="inlineStr">
        <is>
          <t>36-物联网一班202502210108黄萧烁.docx</t>
        </is>
      </c>
      <c r="F37" s="13" t="n">
        <v>0</v>
      </c>
      <c r="G37" s="13" t="n">
        <v>0</v>
      </c>
      <c r="H37" s="15">
        <f>IF((F37+G37)=0,"",F37/(F37+G37))</f>
        <v/>
      </c>
      <c r="I37" s="10" t="n"/>
      <c r="J37" s="10" t="inlineStr">
        <is>
          <t>作业文件名未匹配到任何分类关键字，请检查文件名是否包含分类列表名称。</t>
        </is>
      </c>
      <c r="K37" s="13" t="inlineStr">
        <is>
          <t>mean</t>
        </is>
      </c>
      <c r="L37" s="13" t="n"/>
      <c r="M37" s="13" t="n"/>
    </row>
    <row r="38">
      <c r="A38" s="13" t="inlineStr">
        <is>
          <t>成功</t>
        </is>
      </c>
      <c r="B38" s="14" t="n">
        <v>65.5</v>
      </c>
      <c r="C38" s="13" t="inlineStr">
        <is>
          <t>李泽宇</t>
        </is>
      </c>
      <c r="D38" s="13" t="inlineStr">
        <is>
          <t>202502210094</t>
        </is>
      </c>
      <c r="E38" s="10" t="inlineStr">
        <is>
          <t>37-25物联网工程1班李泽宇202502210094专业分析报告.docx</t>
        </is>
      </c>
      <c r="F38" s="13" t="n">
        <v>2</v>
      </c>
      <c r="G38" s="13" t="n">
        <v>0</v>
      </c>
      <c r="H38" s="15">
        <f>IF((F38+G38)=0,"",F38/(F38+G38))</f>
        <v/>
      </c>
      <c r="I38" s="10" t="inlineStr">
        <is>
          <t>本次作业展现了学生对物联网行业的宏观认识，能够结合专业背景进行分析，并对AI影响及个人职业规划进行了初步思考，整体结构较为完整。然而，报告在行业现状梳理上不够系统，缺乏对核心竞争格局、关键痛点与机会的深入剖析；在AI影响分析部分，正面影响的价值量化不足，对潜在风险的识别与缓解建议较为薄弱；职业认知方面，对目标岗位的具体职责、能力要求及个人成长路径的描述不够清晰和具体。此外，语言表达存在一定的口语化倾向，论证逻辑与细节支撑有待进一步加强。建议后续可补充权威行业数据来源，增强分析的客观性与说服力；针对AI的影响，应结合具体案例进行更细致的价值与风险评估；在职业规划部分，需更明确地论述岗位要求与自身技能、兴趣的匹配点。</t>
        </is>
      </c>
      <c r="J38" s="10" t="n"/>
      <c r="K38" s="13" t="inlineStr">
        <is>
          <t>mean</t>
        </is>
      </c>
      <c r="L38" s="13" t="n"/>
      <c r="M38" s="16">
        <f>HYPERLINK("#'细则明细'!A272","查看")</f>
        <v/>
      </c>
    </row>
    <row r="39">
      <c r="A39" s="13" t="inlineStr">
        <is>
          <t>失败</t>
        </is>
      </c>
      <c r="B39" s="13" t="n"/>
      <c r="C39" s="13" t="n"/>
      <c r="D39" s="13" t="n"/>
      <c r="E39" s="10" t="inlineStr">
        <is>
          <t>38-物联网一班陈鹏宇202502210124.docx</t>
        </is>
      </c>
      <c r="F39" s="13" t="n">
        <v>0</v>
      </c>
      <c r="G39" s="13" t="n">
        <v>0</v>
      </c>
      <c r="H39" s="15">
        <f>IF((F39+G39)=0,"",F39/(F39+G39))</f>
        <v/>
      </c>
      <c r="I39" s="10" t="n"/>
      <c r="J39" s="10" t="inlineStr">
        <is>
          <t>作业文件名未匹配到任何分类关键字，请检查文件名是否包含分类列表名称。</t>
        </is>
      </c>
      <c r="K39" s="13" t="inlineStr">
        <is>
          <t>mean</t>
        </is>
      </c>
      <c r="L39" s="13" t="n"/>
      <c r="M39" s="13" t="n"/>
    </row>
  </sheetData>
  <conditionalFormatting sqref="A2:M39">
    <cfRule type="expression" priority="1" dxfId="0">
      <formula>MOD(ROW(),2)=0</formula>
    </cfRule>
  </conditionalFormatting>
  <conditionalFormatting sqref="A2:A39">
    <cfRule type="expression" priority="2" dxfId="1">
      <formula>EXACT($A2,"成功")</formula>
    </cfRule>
    <cfRule type="expression" priority="3" dxfId="2">
      <formula>EXACT($A2,"失败")</formula>
    </cfRule>
  </conditionalFormatting>
  <conditionalFormatting sqref="B2:B39">
    <cfRule type="colorScale" priority="4">
      <colorScale>
        <cfvo type="min"/>
        <cfvo type="percentile" val="50"/>
        <cfvo type="max"/>
        <color rgb="00F8696B"/>
        <color rgb="00FFEB84"/>
        <color rgb="0063BE7B"/>
      </colorScale>
    </cfRule>
    <cfRule type="expression" priority="8" dxfId="3">
      <formula>TRUE</formula>
    </cfRule>
  </conditionalFormatting>
  <conditionalFormatting sqref="E2:E39">
    <cfRule type="expression" priority="5" dxfId="4">
      <formula>TRUE</formula>
    </cfRule>
  </conditionalFormatting>
  <conditionalFormatting sqref="I2:I39">
    <cfRule type="expression" priority="6" dxfId="1">
      <formula>TRUE</formula>
    </cfRule>
  </conditionalFormatting>
  <conditionalFormatting sqref="J2:J39">
    <cfRule type="expression" priority="7" dxfId="1">
      <formula>TRUE</formula>
    </cfRule>
  </conditionalFormatting>
  <pageMargins left="0.75" right="0.75" top="1" bottom="1" header="0.5" footer="0.5"/>
  <pageSetup orientation="portrait"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L39"/>
  <sheetViews>
    <sheetView showGridLines="0" zoomScale="110" workbookViewId="0">
      <pane ySplit="1" topLeftCell="A2" activePane="bottomLeft" state="frozen"/>
      <selection pane="bottomLeft" activeCell="A1" sqref="A1"/>
    </sheetView>
  </sheetViews>
  <sheetFormatPr baseColWidth="8" defaultRowHeight="15"/>
  <cols>
    <col width="17.6" customWidth="1" min="1" max="1"/>
    <col width="11.6" customWidth="1" min="2" max="2"/>
    <col width="30" customWidth="1" min="3" max="3"/>
    <col width="10" customWidth="1" min="4" max="4"/>
    <col width="10" customWidth="1" min="5" max="5"/>
    <col width="14" customWidth="1" min="6" max="6"/>
    <col width="40" customWidth="1" min="7" max="7"/>
    <col width="10.4" customWidth="1" min="8" max="8"/>
    <col width="10.4" customWidth="1" min="9" max="9"/>
    <col width="15.2" customWidth="1" min="10" max="10"/>
    <col width="40" customWidth="1" min="11" max="11"/>
    <col width="40" customWidth="1" min="12" max="12"/>
  </cols>
  <sheetData>
    <row r="1" ht="24" customHeight="1">
      <c r="A1" s="12" t="inlineStr">
        <is>
          <t>学号</t>
        </is>
      </c>
      <c r="B1" s="12" t="inlineStr">
        <is>
          <t>姓名</t>
        </is>
      </c>
      <c r="C1" s="12" t="inlineStr">
        <is>
          <t>文件名</t>
        </is>
      </c>
      <c r="D1" s="12" t="inlineStr">
        <is>
          <t>主模型-状态</t>
        </is>
      </c>
      <c r="E1" s="12" t="inlineStr">
        <is>
          <t>主模型-分数</t>
        </is>
      </c>
      <c r="F1" s="12" t="inlineStr">
        <is>
          <t>主模型-耗时(ms)</t>
        </is>
      </c>
      <c r="G1" s="12" t="inlineStr">
        <is>
          <t>主模型-评语</t>
        </is>
      </c>
      <c r="H1" s="12" t="inlineStr">
        <is>
          <t>副模型A-状态</t>
        </is>
      </c>
      <c r="I1" s="12" t="inlineStr">
        <is>
          <t>副模型A-分数</t>
        </is>
      </c>
      <c r="J1" s="12" t="inlineStr">
        <is>
          <t>副模型A-耗时(ms)</t>
        </is>
      </c>
      <c r="K1" s="12" t="inlineStr">
        <is>
          <t>副模型A-评语</t>
        </is>
      </c>
      <c r="L1" s="12" t="inlineStr">
        <is>
          <t>总体评语</t>
        </is>
      </c>
    </row>
    <row r="2" ht="60" customHeight="1">
      <c r="A2" s="13" t="inlineStr">
        <is>
          <t>202502210167</t>
        </is>
      </c>
      <c r="B2" s="13" t="inlineStr">
        <is>
          <t>李靖镖</t>
        </is>
      </c>
      <c r="C2" s="10" t="inlineStr">
        <is>
          <t>1-25物联网工程1班李靖镖202502210167专业分析报告.docx</t>
        </is>
      </c>
      <c r="D2" s="13" t="inlineStr">
        <is>
          <t>成功</t>
        </is>
      </c>
      <c r="E2" s="14" t="n">
        <v>91.5</v>
      </c>
      <c r="F2" s="17" t="n">
        <v>48319</v>
      </c>
      <c r="G2" s="10" t="inlineStr">
        <is>
          <t>报告结构完整，内容详实，对物联网行业现状、趋势、AI影响及岗位分析均进行了深入探讨，数据支撑较为充分，体现了良好的专业认知和分析能力。但在部分细节的逻辑链条、量化证据的严谨性以及风险缓解建议的深度上尚有提升空间。</t>
        </is>
      </c>
      <c r="H2" s="13" t="inlineStr">
        <is>
          <t>成功</t>
        </is>
      </c>
      <c r="I2" s="14" t="n">
        <v>86</v>
      </c>
      <c r="J2" s="17" t="n">
        <v>52995</v>
      </c>
      <c r="K2" s="10" t="inlineStr">
        <is>
          <t>报告结构完整，内容详实，对物联网行业现状、趋势、AI影响及岗位认知进行了系统分析。数据引用具体，论证较为充分。但在行业趋势判断的全面性、AI负面影响分析的深度、以及薪资分析的差异化方面存在不足，部分内容表述可更精炼。</t>
        </is>
      </c>
      <c r="L2" s="10" t="inlineStr">
        <is>
          <t>本次作业提交了一份关于物联网行业分析的报告，整体完成质量较高。报告结构完整，内容详实，对行业现状、发展趋势、AI技术影响以及相关岗位都进行了较为系统的梳理和分析，并引用了具体数据作为支撑，体现了你扎实的专业知识基础和良好的信息整合能力。不足之处在于，部分论证的逻辑链条可以更紧密，例如在趋势判断的全面性和AI潜在负面影响的深度分析上尚有欠缺；此外，部分建议（如风险缓解措施）的针对性和可操作性有待加强，部分表述的严谨性和精炼度也有提升空间。建议未来在保持宏观视野的同时，加强对关键论点的深度挖掘和量化证据的严谨推敲，使分析更具说服力。</t>
        </is>
      </c>
    </row>
    <row r="3" ht="60" customHeight="1">
      <c r="A3" s="13" t="inlineStr">
        <is>
          <t>202502210147</t>
        </is>
      </c>
      <c r="B3" s="13" t="inlineStr">
        <is>
          <t>汤智健</t>
        </is>
      </c>
      <c r="C3" s="10" t="inlineStr">
        <is>
          <t>2-25物联网工程1班 汤智健 202502210147 专业分析报告.docx</t>
        </is>
      </c>
      <c r="D3" s="13" t="inlineStr">
        <is>
          <t>成功</t>
        </is>
      </c>
      <c r="E3" s="14" t="n">
        <v>91</v>
      </c>
      <c r="F3" s="17" t="n">
        <v>140227</v>
      </c>
      <c r="G3" s="10" t="inlineStr">
        <is>
          <t>报告结构完整，内容详实，对物联网行业分析深入，专业匹配度高。AI影响分析辩证，职业定位清晰。但部分分析深度与量化支撑有待加强，语言表达偶有冗余。</t>
        </is>
      </c>
      <c r="H3" s="13" t="inlineStr">
        <is>
          <t>成功</t>
        </is>
      </c>
      <c r="I3" s="14" t="n">
        <v>93.5</v>
      </c>
      <c r="J3" s="17" t="n">
        <v>103709</v>
      </c>
      <c r="K3" s="10" t="inlineStr">
        <is>
          <t>报告结构完整，内容详实，对物联网行业分析深入，专业匹配度高。AI影响分析辩证，职业定位清晰。部分趋势分析证据支撑可加强，风险缓解建议稍显笼统。整体完成度较好。</t>
        </is>
      </c>
      <c r="L3" s="10" t="inlineStr">
        <is>
          <t>本次作业整体完成度较高，展现了良好的专业素养。优点在于报告结构完整、逻辑清晰，对物联网行业的分析较为深入，能够结合专业背景进行阐述，对人工智能影响的辩证思考也值得肯定。不足之处在于部分分析（如趋势预测、风险缓解）的深度和量化支撑仍有提升空间，语言表达上偶有冗余，使得论述的精准性稍显不足。建议后续可加强对关键论点的数据或案例佐证，使分析更具说服力；同时，在撰写时注意锤炼语言，力求简洁、准确。</t>
        </is>
      </c>
    </row>
    <row r="4" ht="60" customHeight="1">
      <c r="A4" s="13" t="n"/>
      <c r="B4" s="13" t="n"/>
      <c r="C4" s="10" t="inlineStr">
        <is>
          <t>3-张奕灏202502210115职业发展导论.docx</t>
        </is>
      </c>
      <c r="D4" s="13" t="inlineStr"/>
      <c r="E4" s="13" t="n"/>
      <c r="F4" s="13" t="n"/>
      <c r="G4" s="10" t="inlineStr">
        <is>
          <t>失败</t>
        </is>
      </c>
      <c r="H4" s="13" t="inlineStr"/>
      <c r="I4" s="13" t="n"/>
      <c r="J4" s="13" t="n"/>
      <c r="K4" s="10" t="inlineStr">
        <is>
          <t>失败</t>
        </is>
      </c>
      <c r="L4" s="10" t="n"/>
    </row>
    <row r="5" ht="60" customHeight="1">
      <c r="A5" s="13" t="inlineStr">
        <is>
          <t>202502210088</t>
        </is>
      </c>
      <c r="B5" s="13" t="inlineStr">
        <is>
          <t>物联网工程</t>
        </is>
      </c>
      <c r="C5" s="10" t="inlineStr">
        <is>
          <t>4-物联网工程1班202502210088梁梓恒专业分析报告.docx</t>
        </is>
      </c>
      <c r="D5" s="13" t="inlineStr">
        <is>
          <t>成功</t>
        </is>
      </c>
      <c r="E5" s="14" t="n">
        <v>70</v>
      </c>
      <c r="F5" s="17" t="n">
        <v>163506</v>
      </c>
      <c r="G5" s="10" t="inlineStr">
        <is>
          <t>报告结构完整，对物联网行业有较深入的分析，数据引用具体，AI影响分析较为辩证。但在行业现状梳理的全面性、趋势判断的证据链、风险缓解建议的具体性以及薪资预期分析方面存在不足，需进一步完善。</t>
        </is>
      </c>
      <c r="H5" s="13" t="inlineStr">
        <is>
          <t>成功</t>
        </is>
      </c>
      <c r="I5" s="14" t="n">
        <v>74</v>
      </c>
      <c r="J5" s="17" t="n">
        <v>190043</v>
      </c>
      <c r="K5" s="10" t="inlineStr">
        <is>
          <t>报告结构完整，对物联网行业有较深入的分析，专业认知清晰。行业现状与趋势部分数据详实，AI影响分析较为辩证，岗位定位明确。但在行业趋势判断的逻辑链条、AI负面影响的具体风险讨论、薪资与发展预期等方面存在不足，需进一步完善。</t>
        </is>
      </c>
      <c r="L5" s="10" t="inlineStr">
        <is>
          <t>本次作业提交了一份关于物联网行业的分析报告，整体结构完整，逻辑框架清晰。优点在于对行业现状进行了较为深入的剖析，能够结合具体数据展开论述，对人工智能影响的讨论也体现了辩证思考的能力，显示出你具备一定的专业认知和分析基础。不足之处在于，行业趋势判断的证据链尚不够严密，部分论述缺乏强有力的数据或案例支撑；对潜在风险的分析和缓解建议稍显笼统，未能提出更具操作性的方案；薪资与发展预期的分析也略显单薄。建议后续在趋势论证时强化逻辑链条的衔接，增加对行业报告、学术文献等权威资料的引用以增强说服力；针对风险部分，可尝试结合具体企业案例提出分步骤的应对策略；同时，对岗位薪资的预期应建立在更广泛的市场调研数据基础上，使结论更为扎实可信。</t>
        </is>
      </c>
    </row>
    <row r="6" ht="60" customHeight="1">
      <c r="A6" s="13" t="inlineStr">
        <is>
          <t>202502210148</t>
        </is>
      </c>
      <c r="B6" s="13" t="inlineStr">
        <is>
          <t>罗洋</t>
        </is>
      </c>
      <c r="C6" s="10" t="inlineStr">
        <is>
          <t>5-25物联网工程1班罗洋202502210148职业规划书.docx</t>
        </is>
      </c>
      <c r="D6" s="13" t="inlineStr">
        <is>
          <t>成功</t>
        </is>
      </c>
      <c r="E6" s="14" t="n">
        <v>4.47</v>
      </c>
      <c r="F6" s="17" t="n">
        <v>213139</v>
      </c>
      <c r="G6" s="10" t="inlineStr">
        <is>
          <t>作业结构不完整，未能覆盖职业规划书的核心模块。职业缘起、自我分析、职业路径规划、风险评估等关键内容严重缺失，导致整体规划缺乏个人针对性与可执行性。</t>
        </is>
      </c>
      <c r="H6" s="13" t="inlineStr">
        <is>
          <t>成功</t>
        </is>
      </c>
      <c r="I6" s="14" t="n">
        <v>5.69</v>
      </c>
      <c r="J6" s="17" t="n">
        <v>235821</v>
      </c>
      <c r="K6" s="10" t="inlineStr">
        <is>
          <t>作业结构不完整，未按职业规划书的基本框架展开。内容主要集中在行业与技术分析，对个人职业缘起、自我认知、能力盘点、成长路径及风险应对等核心部分严重缺失或未涉及。整体更像一份行业研究报告，而非个人职业规划。</t>
        </is>
      </c>
      <c r="L6" s="10" t="inlineStr">
        <is>
          <t>本次职业规划作业在行业与技术分析方面展现出一定的信息搜集与整理能力，体现出对宏观职业环境的关注。然而，作业存在明显不足：整体结构不完整，未能遵循职业规划书的基本框架，核心模块如个人职业缘起、深入的自我分析、具体的能力盘点、清晰的成长路径规划以及风险评估与应对策略均严重缺失或未涉及，导致规划内容缺乏个人针对性与可执行性，更像一份行业报告而非个人规划。建议你首先系统学习职业规划的标准框架，明确各模块要求；其次，务必补充详尽的自我认知部分，将个人兴趣、能力与职业目标紧密关联；最后，需制定具体、分阶段、可衡量的行动计划，并预设可能的风险与对策，使规划真正落地。</t>
        </is>
      </c>
    </row>
    <row r="7" ht="60" customHeight="1">
      <c r="A7" s="13" t="inlineStr">
        <is>
          <t>202502210096</t>
        </is>
      </c>
      <c r="B7" s="13" t="inlineStr">
        <is>
          <t>刘锐杨</t>
        </is>
      </c>
      <c r="C7" s="10" t="inlineStr">
        <is>
          <t>6-25物联网工程1班刘锐杨202502210096专业分析报告.docx</t>
        </is>
      </c>
      <c r="D7" s="13" t="inlineStr">
        <is>
          <t>成功</t>
        </is>
      </c>
      <c r="E7" s="14" t="n">
        <v>60</v>
      </c>
      <c r="F7" s="17" t="n">
        <v>269694</v>
      </c>
      <c r="G7" s="10" t="inlineStr">
        <is>
          <t>报告结构清晰，对行业有宏观把握，对AI影响有辩证思考。但部分关键内容缺失或过于简略，如行业痛点、风险缓解建议、个人职业定位的具体匹配点及薪资调研数据等，导致论证深度不足，需加强细节支撑与逻辑闭环。</t>
        </is>
      </c>
      <c r="H7" s="13" t="inlineStr">
        <is>
          <t>成功</t>
        </is>
      </c>
      <c r="I7" s="14" t="n">
        <v>39</v>
      </c>
      <c r="J7" s="17" t="n">
        <v>280037</v>
      </c>
      <c r="K7" s="10" t="inlineStr">
        <is>
          <t>报告框架清晰，对行业趋势、企业生态有较好梳理，AI影响分析有一定深度。但报告内容不完整，多处仅为大纲或标题，缺乏具体分析、论证和数据支撑，导致各维度得分均受影响。</t>
        </is>
      </c>
      <c r="L7" s="10" t="inlineStr">
        <is>
          <t>本次作业在报告框架和行业宏观把握方面展现出一定优势，结构清晰，对行业趋势及AI影响的辩证思考值得肯定。然而，作业存在明显不足，核心问题在于内容不完整，多处关键部分仅停留于大纲或标题，缺乏具体分析、数据支撑和深入论证，例如行业痛点、风险应对建议及个人职业匹配的细节阐述均显薄弱，导致整体论证深度不足、逻辑链条不够闭环。建议你后续着重补充具体案例、调研数据和详细分析，强化各部分的论证支撑，使报告内容更为充实、逻辑更为严谨。</t>
        </is>
      </c>
    </row>
    <row r="8" ht="60" customHeight="1">
      <c r="A8" s="13" t="inlineStr">
        <is>
          <t>202502210184</t>
        </is>
      </c>
      <c r="B8" s="13" t="inlineStr">
        <is>
          <t>莫曜鸿</t>
        </is>
      </c>
      <c r="C8" s="10" t="inlineStr">
        <is>
          <t>7-202502210184莫曜鸿职业规划书.docx</t>
        </is>
      </c>
      <c r="D8" s="13" t="inlineStr">
        <is>
          <t>成功</t>
        </is>
      </c>
      <c r="E8" s="14" t="n">
        <v>62.6</v>
      </c>
      <c r="F8" s="17" t="n">
        <v>87846</v>
      </c>
      <c r="G8" s="10" t="inlineStr">
        <is>
          <t>规划书结构完整，目标明确，路径清晰，实践计划具体。但在职业缘起、自我特征、行业与职业认知的深度分析上有所欠缺，部分能力支撑与风险应对的细节可进一步充实。整体逻辑连贯，具备一定的可执行性。</t>
        </is>
      </c>
      <c r="H8" s="13" t="inlineStr">
        <is>
          <t>成功</t>
        </is>
      </c>
      <c r="I8" s="14" t="n">
        <v>51.22</v>
      </c>
      <c r="J8" s="17" t="n">
        <v>95182</v>
      </c>
      <c r="K8" s="10" t="inlineStr">
        <is>
          <t>规划书结构完整，职业目标明确，成长路径设计具体。但对职业缘起的阐述过于简略，自我特征、行业与职业认知的分析深度不足，风险评估部分较为笼统，缺乏具体的评估周期和备选方案细节。</t>
        </is>
      </c>
      <c r="L8" s="10" t="inlineStr">
        <is>
          <t>本次提交的职业规划书展现了较好的整体框架，结构完整，职业目标明确，成长路径设计具体，实践计划也具备一定的可操作性，这是值得肯定的优点。然而，作业在分析的深度上存在明显不足：对选择该职业的缘起阐述过于简略，自我特征、行业与职业的认知分析较为表面，未能充分结合个人特质与外部环境进行深入剖析；此外，能力支撑的细节、风险评估及应对方案部分也显得笼统，缺乏具体的评估周期和可行的备选方案。建议你后续能着重深化自我认知与职业探索部分，运用更具体的工具或事例来支撑分析，并对规划中的风险防范与能力提升路径补充更详实的执行细节，使规划更具说服力和落地性。</t>
        </is>
      </c>
    </row>
    <row r="9" ht="60" customHeight="1">
      <c r="A9" s="13" t="inlineStr">
        <is>
          <t>202502210150</t>
        </is>
      </c>
      <c r="B9" s="13" t="inlineStr">
        <is>
          <t>杨天</t>
        </is>
      </c>
      <c r="C9" s="10" t="inlineStr">
        <is>
          <t>8-25物联网工程1班202502210150杨天职业规划书.docx</t>
        </is>
      </c>
      <c r="D9" s="13" t="inlineStr">
        <is>
          <t>成功</t>
        </is>
      </c>
      <c r="E9" s="14" t="n">
        <v>38.21</v>
      </c>
      <c r="F9" s="17" t="n">
        <v>140161</v>
      </c>
      <c r="G9" s="10" t="inlineStr">
        <is>
          <t>规划书结构清晰，职业目标明确，发展路径设计合理。但职业缘起部分缺失，对行业与职业的认知分析不足，风险评估过于简略，未能体现深度与前瞻性。整体上，对个人能力与目标的匹配性阐述较好，但规划的逻辑起点和外部环境分析薄弱。</t>
        </is>
      </c>
      <c r="H9" s="13" t="inlineStr">
        <is>
          <t>成功</t>
        </is>
      </c>
      <c r="I9" s="14" t="n">
        <v>32.52</v>
      </c>
      <c r="J9" s="17" t="n">
        <v>145639</v>
      </c>
      <c r="K9" s="10" t="inlineStr">
        <is>
          <t>规划书结构清晰，职业目标明确，发展路径设计合理。但内容存在明显缺失，尤其在职业缘起、自我特征、行业与职业认知、风险评估等方面缺乏具体、深入的阐述，导致多个维度得分较低。整体来看，规划书更像一份技术学习与求职计划，而非完整的职业规划。</t>
        </is>
      </c>
      <c r="L9" s="10" t="inlineStr">
        <is>
          <t>本次职业规划作业展现出一些值得肯定的优点。规划书整体结构清晰，职业目标设定明确，发展路径的设计也较为合理，体现了对个人能力与目标匹配性的初步思考。然而，作业存在明显的不足之处。核心问题在于内容深度与分析广度严重不足，特别是职业缘起、自我特征剖析、行业与职业认知以及风险评估等关键模块，或完全缺失，或阐述过于简略，未能体现深入的自我探索与前瞻性的外部环境分析。这使得规划书更像一份技术学习计划，而非一份完整的、有深度的职业规划。建议你后续重点补充并深化对个人职业选择内在动机（缘起）的挖掘，并系统性地进行自我认知（如性格、兴趣、价值观）与外部职业环境（如行业趋势、岗位要求）的分析，在此基础上完善风险评估与应对策略，从而提升规划的逻辑性与说服力。</t>
        </is>
      </c>
    </row>
    <row r="10" ht="60" customHeight="1">
      <c r="A10" s="13" t="inlineStr">
        <is>
          <t>202502210127</t>
        </is>
      </c>
      <c r="B10" s="13" t="inlineStr">
        <is>
          <t>何荣林</t>
        </is>
      </c>
      <c r="C10" s="10" t="inlineStr">
        <is>
          <t>9-25物联网工程1班何荣林202502210127专业职业规划书.docx</t>
        </is>
      </c>
      <c r="D10" s="13" t="inlineStr">
        <is>
          <t>成功</t>
        </is>
      </c>
      <c r="E10" s="14" t="n">
        <v>32.52</v>
      </c>
      <c r="F10" s="17" t="n">
        <v>178032</v>
      </c>
      <c r="G10" s="10" t="inlineStr">
        <is>
          <t>作业结构完整，逻辑清晰，对物联网行业有宏观认识，并制定了分阶段的发展路径。但内容多为通用模板，缺乏个人真实经历、具体数据支撑和深入分析，导致多个评分项因内容空泛、不具体而扣分。</t>
        </is>
      </c>
      <c r="H10" s="13" t="inlineStr">
        <is>
          <t>成功</t>
        </is>
      </c>
      <c r="I10" s="14" t="n">
        <v>29.27</v>
      </c>
      <c r="J10" s="17" t="n">
        <v>173615</v>
      </c>
      <c r="K10" s="10" t="inlineStr">
        <is>
          <t>作业结构完整，逻辑清晰，职业目标明确，成长路径规划具体。但内容多为通用模板，缺乏个人真实、具体的经历与认知填充，导致多个评分细则因内容缺失或不具体而扣分。</t>
        </is>
      </c>
      <c r="L10" s="10" t="inlineStr">
        <is>
          <t>本次职业生涯规划作业展现了良好的结构性与逻辑性，能够清晰阐述对物联网行业的宏观认识，并制定了分阶段的职业发展路径，目标明确，规划具体。然而，作业内容存在明显不足，主要问题在于过度依赖通用模板，缺乏个人真实经历、具体案例与数据的支撑，导致分析深度不足，内容显得空泛。建议你结合自身的学习实践、项目经验或实习见闻，对行业认知、技能要求进行更具体、个性化的阐述，并用量化指标或实际案例来充实各阶段规划，使方案更具说服力和可操作性。</t>
        </is>
      </c>
    </row>
    <row r="11" ht="60" customHeight="1">
      <c r="A11" s="13" t="inlineStr">
        <is>
          <t>202502210204</t>
        </is>
      </c>
      <c r="B11" s="13" t="inlineStr">
        <is>
          <t>物联网工程何颂平</t>
        </is>
      </c>
      <c r="C11" s="10" t="inlineStr">
        <is>
          <t>10-物联网工程1班何颂平202502210204职业规划书.docx</t>
        </is>
      </c>
      <c r="D11" s="13" t="inlineStr">
        <is>
          <t>成功</t>
        </is>
      </c>
      <c r="E11" s="14" t="n">
        <v>79.27</v>
      </c>
      <c r="F11" s="17" t="n">
        <v>238274</v>
      </c>
      <c r="G11" s="10" t="inlineStr">
        <is>
          <t>规划书结构完整，逻辑清晰，目标明确。自我认知深入，行业分析有据，行动计划具体。但在职业缘起的来源叙述、部分能力与目标的匹配性论证、以及风险评估的具体性方面尚有提升空间。整体是一份较为优秀的职业规划。</t>
        </is>
      </c>
      <c r="H11" s="13" t="inlineStr">
        <is>
          <t>成功</t>
        </is>
      </c>
      <c r="I11" s="14" t="n">
        <v>100</v>
      </c>
      <c r="J11" s="17" t="n">
        <v>224406</v>
      </c>
      <c r="K11" s="10" t="inlineStr">
        <is>
          <t>规划书结构完整，逻辑清晰，展现了良好的自我认知与行业洞察。职业目标明确，路径设计具体，行动计划详实，风险管理意识强。整体而言，是一份高质量的职业规划书。</t>
        </is>
      </c>
      <c r="L11" s="10" t="inlineStr">
        <is>
          <t>本次职业规划作业整体完成质量较高。优点在于规划书结构完整、逻辑清晰，展现了良好的自我认知与行业洞察能力，职业目标明确且行动计划较为详实。不足之处在于，部分内容如职业缘起的叙述深度、能力与目标之间的匹配论证，以及风险评估的具体应对措施等方面，尚有进一步充实的空间。建议后续可着重加强个人经历与职业选择的内在关联性分析，并对计划中的关键节点进行更细致的可行性论证，使规划更具说服力和可操作性。</t>
        </is>
      </c>
    </row>
    <row r="12" ht="60" customHeight="1">
      <c r="A12" s="13" t="n"/>
      <c r="B12" s="13" t="n"/>
      <c r="C12" s="10" t="inlineStr">
        <is>
          <t>11-陈加豪.docx</t>
        </is>
      </c>
      <c r="D12" s="13" t="inlineStr"/>
      <c r="E12" s="13" t="n"/>
      <c r="F12" s="13" t="n"/>
      <c r="G12" s="10" t="inlineStr">
        <is>
          <t>失败</t>
        </is>
      </c>
      <c r="H12" s="13" t="inlineStr"/>
      <c r="I12" s="13" t="n"/>
      <c r="J12" s="13" t="n"/>
      <c r="K12" s="10" t="inlineStr">
        <is>
          <t>失败</t>
        </is>
      </c>
      <c r="L12" s="10" t="n"/>
    </row>
    <row r="13" ht="60" customHeight="1">
      <c r="A13" s="13" t="n"/>
      <c r="B13" s="13" t="n"/>
      <c r="C13" s="10" t="inlineStr">
        <is>
          <t>12-25物联网工程一班曾永曦202502210132.docx</t>
        </is>
      </c>
      <c r="D13" s="13" t="inlineStr"/>
      <c r="E13" s="13" t="n"/>
      <c r="F13" s="13" t="n"/>
      <c r="G13" s="10" t="inlineStr">
        <is>
          <t>失败</t>
        </is>
      </c>
      <c r="H13" s="13" t="inlineStr"/>
      <c r="I13" s="13" t="n"/>
      <c r="J13" s="13" t="n"/>
      <c r="K13" s="10" t="inlineStr">
        <is>
          <t>失败</t>
        </is>
      </c>
      <c r="L13" s="10" t="n"/>
    </row>
    <row r="14" ht="60" customHeight="1">
      <c r="A14" s="13" t="inlineStr">
        <is>
          <t>202502210110</t>
        </is>
      </c>
      <c r="B14" s="13" t="inlineStr">
        <is>
          <t>刘辉龙</t>
        </is>
      </c>
      <c r="C14" s="10" t="inlineStr">
        <is>
          <t>13-25物联网工程1班刘辉龙202502210110职业规划书.docx</t>
        </is>
      </c>
      <c r="D14" s="13" t="inlineStr">
        <is>
          <t>成功</t>
        </is>
      </c>
      <c r="E14" s="14" t="n">
        <v>20.33</v>
      </c>
      <c r="F14" s="17" t="n">
        <v>264333</v>
      </c>
      <c r="G14" s="10" t="inlineStr">
        <is>
          <t>规划书结构完整，目标明确，对自身特质与目标行业有结合分析。但内容详实度不足，多处关键部分仅提出概念或结论，缺乏具体、深入的论述和支撑材料，导致分析深度和说服力受限。</t>
        </is>
      </c>
      <c r="H14" s="13" t="inlineStr">
        <is>
          <t>成功</t>
        </is>
      </c>
      <c r="I14" s="14" t="n">
        <v>34.15</v>
      </c>
      <c r="J14" s="17" t="n">
        <v>284830</v>
      </c>
      <c r="K14" s="10" t="inlineStr">
        <is>
          <t>规划书结构清晰，目标明确，对自身特质与目标行业有一定结合。但内容详实度不足，多处关键部分缺乏具体、深入的阐述，尤其在职业缘起、行业与职业认知、能力基础及风险应对方面存在明显短板，导致整体规划的说服力和可执行性较弱。</t>
        </is>
      </c>
      <c r="L14" s="10" t="inlineStr">
        <is>
          <t>本次职业生涯规划作业展现了良好的框架意识，结构清晰，目标设定明确，能够尝试将个人特质与目标行业进行初步结合，这是值得肯定的基础。然而，作业的核心问题在于内容深度与详实度严重不足，多处关键部分，如职业选择的缘起、对行业与职业的深入认知、个人能力基础的剖析以及风险应对策略等，仅停留在概念或结论层面，缺乏具体、深入的论述和有力的支撑材料，导致整体分析显得空泛，规划的说服力与可执行性因此大打折扣。建议你后续重点围绕“如何实现”与“为何可行”这两个核心问题，对规划中的每一个环节进行细化，补充具体的事实依据、数据参考或分步行动计划，使你的职业蓝图更加丰满和扎实。</t>
        </is>
      </c>
    </row>
    <row r="15" ht="60" customHeight="1">
      <c r="A15" s="13" t="inlineStr">
        <is>
          <t>202502210113</t>
        </is>
      </c>
      <c r="B15" s="13" t="inlineStr">
        <is>
          <t>刘宇轩</t>
        </is>
      </c>
      <c r="C15" s="10" t="inlineStr">
        <is>
          <t>14-25物联网工程1班刘宇轩202502210113职业规划书.docx</t>
        </is>
      </c>
      <c r="D15" s="13" t="inlineStr">
        <is>
          <t>成功</t>
        </is>
      </c>
      <c r="E15" s="14" t="n">
        <v>35.77</v>
      </c>
      <c r="F15" s="17" t="n">
        <v>80387</v>
      </c>
      <c r="G15" s="10" t="inlineStr">
        <is>
          <t>规划书结构基本完整，但内容详实度与深度普遍不足。职业缘起部分缺乏具体来源支撑，自我认知与行业分析较为浅显。能力盘点与规划部分虽有列举，但匹配性分析与可执行性细节欠缺。风险应对部分完全缺失，规划弹性不足。</t>
        </is>
      </c>
      <c r="H15" s="13" t="inlineStr">
        <is>
          <t>成功</t>
        </is>
      </c>
      <c r="I15" s="14" t="n">
        <v>27.64</v>
      </c>
      <c r="J15" s="17" t="n">
        <v>94079</v>
      </c>
      <c r="K15" s="10" t="inlineStr">
        <is>
          <t>规划书结构基本完整，但内容详实度与深度普遍不足。职业缘起部分缺乏真实具体的来源叙述，行业与职业认知分析过于简略。能力盘点与规划部分虽有列举，但匹配性论证、具体提升措施及风险应对策略均严重缺失，导致整体规划可执行性不强。</t>
        </is>
      </c>
      <c r="L15" s="10" t="inlineStr">
        <is>
          <t>本次职业规划作业在结构完整性方面表现尚可，基本框架已搭建。主要优点在于对个人能力进行了初步盘点，并对未来规划方向有所列举，显示出一定的思考。然而，作业存在明显不足：内容整体较为浅显，缺乏深度分析。具体而言，职业选择的缘起部分缺乏具体事例或数据支撑，说服力不强；自我认知与行业分析部分过于简略，未能深入剖析个人特质与职业要求的匹配度；最为突出的问题是能力提升计划与风险应对策略部分严重缺失或论证不足，导致整个规划的可执行性与弹性较弱。建议你后续能结合可靠的行业信息，深化对目标职业的认知；在能力盘点部分，尝试使用如SWOT分析等工具进行更系统的评估；并务必补充具体、分阶段的能力提升措施以及潜在风险的应对方案，使规划更具指导意义。</t>
        </is>
      </c>
    </row>
    <row r="16" ht="60" customHeight="1">
      <c r="A16" s="13" t="inlineStr">
        <is>
          <t>202502210216</t>
        </is>
      </c>
      <c r="B16" s="13" t="inlineStr">
        <is>
          <t>叶威佳</t>
        </is>
      </c>
      <c r="C16" s="10" t="inlineStr">
        <is>
          <t>15-25物联网工程1班叶威佳202502210216职业规划书.docx</t>
        </is>
      </c>
      <c r="D16" s="13" t="inlineStr">
        <is>
          <t>成功</t>
        </is>
      </c>
      <c r="E16" s="14" t="n">
        <v>31.71</v>
      </c>
      <c r="F16" s="17" t="n">
        <v>128221</v>
      </c>
      <c r="G16" s="10" t="inlineStr">
        <is>
          <t>作业结构基本完整，但内容深度普遍不足。职业缘起部分缺乏具体来源，自我认知与职业目标关联性弱，行业与职业分析过于简略。能力盘点与成长路径有初步规划，但具体性、可执行性有待加强。风险评估部分完全缺失，规划弹性不足。</t>
        </is>
      </c>
      <c r="H16" s="13" t="inlineStr">
        <is>
          <t>成功</t>
        </is>
      </c>
      <c r="I16" s="14" t="n">
        <v>21.95</v>
      </c>
      <c r="J16" s="17" t="n">
        <v>125172</v>
      </c>
      <c r="K16" s="10" t="inlineStr">
        <is>
          <t>作业结构基本完整，但内容深度普遍不足。职业缘起部分缺乏具体来源，自我与职业认知较为浅显。能力盘点与成长路径虽有提及，但细节缺失，可执行性不强。风险评估部分完全空白，规划缺乏弹性。</t>
        </is>
      </c>
      <c r="L16" s="10" t="inlineStr">
        <is>
          <t>本次职业规划作业提交了完整的结构框架，值得肯定。主要优点在于对个人能力盘点和成长路径进行了初步梳理，展现了基本的规划意识。然而，作业存在明显的不足之处：内容深度普遍欠缺，例如职业缘起部分缺乏具体事例支撑，自我认知与职业目标的逻辑关联较弱，对行业与职业的分析也过于简略。更突出的问题是，全文完全缺失对潜在风险的评估，导致规划显得僵化、弹性不足。建议你后续着重深化具体内容，为每个分析环节补充详实的个人经历或调研数据，并务必增设风险评估与应对策略部分，以增强规划的可信度与可执行性。</t>
        </is>
      </c>
    </row>
    <row r="17" ht="60" customHeight="1">
      <c r="A17" s="13" t="inlineStr">
        <is>
          <t>202502210073</t>
        </is>
      </c>
      <c r="B17" s="13" t="inlineStr">
        <is>
          <t>物联网工程李金瀚</t>
        </is>
      </c>
      <c r="C17" s="10" t="inlineStr">
        <is>
          <t>16-物联网工程1班李金瀚202502210073职业规划书.docx</t>
        </is>
      </c>
      <c r="D17" s="13" t="inlineStr">
        <is>
          <t>成功</t>
        </is>
      </c>
      <c r="E17" s="14" t="n">
        <v>21.14</v>
      </c>
      <c r="F17" s="17" t="n">
        <v>162229</v>
      </c>
      <c r="G17" s="10" t="inlineStr">
        <is>
          <t>作业结构较为完整，但内容深度普遍不足。职业缘起部分叙述简单，缺乏具体来源；自我认知与能力盘点过于消极，未与目标有效关联；行业与职业认知缺失；能力基础部分虽有规划但未结合个人现状；风险应对部分完全空白。整体规划性、具体性和逻辑性有待加强。</t>
        </is>
      </c>
      <c r="H17" s="13" t="inlineStr">
        <is>
          <t>成功</t>
        </is>
      </c>
      <c r="I17" s="14" t="n">
        <v>25.2</v>
      </c>
      <c r="J17" s="17" t="n">
        <v>164322</v>
      </c>
      <c r="K17" s="10" t="inlineStr">
        <is>
          <t>作业结构较为完整，但内容深度严重不足。职业缘起部分叙述简单，自我认知矛盾且缺乏支撑。能力盘点过于消极，未提供具体证据。成长路径虽详细，但缺乏与当前能力基础的衔接，且未针对已识别的短板制定计划。风险应对部分完全缺失。整体规划性、真实性与可执行性较弱。</t>
        </is>
      </c>
      <c r="L17" s="10" t="inlineStr">
        <is>
          <t>本次职业生涯规划作业在结构完整性方面表现尚可，基本框架已搭建。主要优点在于成长路径部分有较为详细的设想，显示出一定的规划意识。然而，作业存在明显不足：内容深度普遍欠缺，职业缘起叙述过于简单，自我认知部分表述矛盾且缺乏具体事例支撑，能力盘点偏向消极而未与职业目标建立有效关联，对行业与目标职业的认知几乎空白，风险应对部分完全缺失。整体来看，规划的逻辑性、具体性和可执行性均有待大幅提升。建议你：首先，深入调研意向行业与职业，补充具体的岗位认知；其次，基于客观事实（如经历、技能）重新进行自我评估，建立优势、短板与目标之间的逻辑链条；最后，务必补充风险评估与应对策略，使规划更为周全。</t>
        </is>
      </c>
    </row>
    <row r="18" ht="60" customHeight="1">
      <c r="A18" s="13" t="n"/>
      <c r="B18" s="13" t="n"/>
      <c r="C18" s="10" t="inlineStr">
        <is>
          <t>17-2025物联网工程一班李锐佳职业规划书.docx</t>
        </is>
      </c>
      <c r="D18" s="13" t="inlineStr">
        <is>
          <t>成功</t>
        </is>
      </c>
      <c r="E18" s="14" t="n">
        <v>34.15</v>
      </c>
      <c r="F18" s="17" t="n">
        <v>207746</v>
      </c>
      <c r="G18" s="10" t="inlineStr">
        <is>
          <t>规划书结构清晰，目标明确。职业缘起部分叙述真实但不够具体深入；能力基础部分对现有能力与目标岗位的匹配性分析不足，成长路径有框架但细节缺失；风险应对部分完全空白，是主要失分项。</t>
        </is>
      </c>
      <c r="H18" s="13" t="inlineStr">
        <is>
          <t>成功</t>
        </is>
      </c>
      <c r="I18" s="14" t="n">
        <v>17.07</v>
      </c>
      <c r="J18" s="17" t="n">
        <v>205718</v>
      </c>
      <c r="K18" s="10" t="inlineStr">
        <is>
          <t>规划书结构基本完整，目标岗位明确。但内容普遍缺乏深度与具体细节，多个部分仅停留在概念罗列或简单陈述，未进行充分、有依据的分析与阐述，导致整体说服力不足。</t>
        </is>
      </c>
      <c r="L18" s="10" t="inlineStr">
        <is>
          <t>本次职业规划作业展现了良好的结构意识，目标岗位设定明确，整体框架清晰。主要优点在于规划书的结构完整，对职业目标有基本的方向性认识。然而，不足之处也较为明显：首先，内容深度普遍不足，尤其在职业缘起和能力基础部分，叙述较为笼统，缺乏具体事例和深入分析，未能充分论证个人能力与目标岗位的匹配性；其次，成长路径部分虽有框架，但关键细节缺失，可操作性不强；最为突出的问题是风险应对部分完全空白，这严重影响了规划的完整性与可行性。建议你：第一，对每一部分内容进行深化，补充具体的个人经历、技能证据和详细实施步骤，增强说服力；第二，务必补全对潜在职业风险的识别与应对策略，这是职业规划不可或缺的一环。</t>
        </is>
      </c>
    </row>
    <row r="19" ht="60" customHeight="1">
      <c r="A19" s="13" t="n"/>
      <c r="B19" s="13" t="n"/>
      <c r="C19" s="10" t="inlineStr">
        <is>
          <t>18-202502210117何思达《专业认知实践》课程报告.doc.docx</t>
        </is>
      </c>
      <c r="D19" s="13" t="inlineStr"/>
      <c r="E19" s="13" t="n"/>
      <c r="F19" s="13" t="n"/>
      <c r="G19" s="10" t="inlineStr">
        <is>
          <t>失败</t>
        </is>
      </c>
      <c r="H19" s="13" t="inlineStr"/>
      <c r="I19" s="13" t="n"/>
      <c r="J19" s="13" t="n"/>
      <c r="K19" s="10" t="inlineStr">
        <is>
          <t>失败</t>
        </is>
      </c>
      <c r="L19" s="10" t="n"/>
    </row>
    <row r="20" ht="60" customHeight="1">
      <c r="A20" s="13" t="inlineStr">
        <is>
          <t>202502210078</t>
        </is>
      </c>
      <c r="B20" s="13" t="inlineStr">
        <is>
          <t>赵晓彤</t>
        </is>
      </c>
      <c r="C20" s="10" t="inlineStr">
        <is>
          <t>19-25物联网工程1班赵晓彤202502210078职业规划书.docx</t>
        </is>
      </c>
      <c r="D20" s="13" t="inlineStr">
        <is>
          <t>成功</t>
        </is>
      </c>
      <c r="E20" s="14" t="n">
        <v>50.41</v>
      </c>
      <c r="F20" s="17" t="n">
        <v>213088</v>
      </c>
      <c r="G20" s="10" t="inlineStr">
        <is>
          <t>规划书结构完整，职业目标明确，对行业和岗位有一定认知。但职业缘起部分缺乏具体来源叙述，自我特征分析未与职业测试结论有效关联，风险评估与备选方案缺失。整体规划逻辑性尚可，但深度和前瞻性有待加强。</t>
        </is>
      </c>
      <c r="H20" s="13" t="inlineStr">
        <is>
          <t>成功</t>
        </is>
      </c>
      <c r="I20" s="14" t="n">
        <v>42.28</v>
      </c>
      <c r="J20" s="17" t="n">
        <v>209940</v>
      </c>
      <c r="K20" s="10" t="inlineStr">
        <is>
          <t>规划书结构完整，职业目标明确，对行业与岗位有一定认知。主要问题在于职业缘起部分缺乏具体来源叙述，能力盘点与目标岗位的匹配性分析不足，成长路径的短期目标不够具体，风险评估部分完全缺失，导致多个维度扣分。</t>
        </is>
      </c>
      <c r="L20" s="10" t="inlineStr">
        <is>
          <t>本次职业规划作业展现了较好的结构完整性，职业目标设定明确，对目标行业与岗位具备基础认知，这是值得肯定的优点。然而，作业在深度与细节上存在明显不足：职业缘起的叙述较为空泛，缺乏具体事例或信息来源支撑；自我特征分析未能与职业测试结论形成有效关联，导致个人能力与目标岗位的匹配性论证薄弱；更为关键的是，风险评估与备选方案部分完全缺失，成长路径中的短期目标也不够具体，这严重影响了规划的逻辑严谨性与前瞻性。建议你后续补充具体案例来充实职业选择缘由，强化自我盘点与职业目标的逻辑链条，并务必系统性地增补风险评估及应对策略，使规划更具实操价值。</t>
        </is>
      </c>
    </row>
    <row r="21" ht="60" customHeight="1">
      <c r="A21" s="13" t="inlineStr">
        <is>
          <t>20250221099</t>
        </is>
      </c>
      <c r="B21" s="13" t="inlineStr">
        <is>
          <t>薛慧珊</t>
        </is>
      </c>
      <c r="C21" s="10" t="inlineStr">
        <is>
          <t>20-25物联网工程1班+薛慧珊+20250221099+职业规划书.docx</t>
        </is>
      </c>
      <c r="D21" s="13" t="inlineStr">
        <is>
          <t>成功</t>
        </is>
      </c>
      <c r="E21" s="14" t="n">
        <v>21.95</v>
      </c>
      <c r="F21" s="17" t="n">
        <v>75463</v>
      </c>
      <c r="G21" s="10" t="inlineStr">
        <is>
          <t>规划书结构基本完整，目标行业与岗位明确。职业缘起部分缺乏具体来源叙述，自我认知与行业分析较为详实，但职业认知深度不足。能力基础部分列举了部分内容，但匹配性分析、短板提升计划及成长路径的细节与可执行性有待加强。风险评估部分完全缺失。</t>
        </is>
      </c>
      <c r="H21" s="13" t="inlineStr">
        <is>
          <t>成功</t>
        </is>
      </c>
      <c r="I21" s="14" t="n">
        <v>22.76</v>
      </c>
      <c r="J21" s="17" t="n">
        <v>83120</v>
      </c>
      <c r="K21" s="10" t="inlineStr">
        <is>
          <t>规划书结构基本完整，职业目标明确。主要问题在于内容详实度不足，多个关键部分仅列出框架或概念，缺乏具体、深入的阐述和论证，导致分析深度不够，可执行性较弱。</t>
        </is>
      </c>
      <c r="L21" s="10" t="inlineStr">
        <is>
          <t>本次职业规划作业在结构框架上基本完整，职业目标与行业选择较为明确，自我认知部分也进行了初步梳理，这是值得肯定的基础。然而，作业存在明显的不足：内容普遍流于表面，对职业的认知深度不足，多个关键部分如能力匹配分析、成长路径设计以及风险评估等，或阐述简略，或完全缺失，导致规划的可操作性与说服力不强。建议你后续重点补充对目标岗位所需核心能力的详细调研，并结合自身现状制定具体、分阶段的提升计划；同时，务必增加对潜在风险的评估与应对策略，使规划更具现实指导意义。</t>
        </is>
      </c>
    </row>
    <row r="22" ht="60" customHeight="1">
      <c r="A22" s="13" t="inlineStr">
        <is>
          <t>2025022101850</t>
        </is>
      </c>
      <c r="B22" s="13" t="inlineStr">
        <is>
          <t>莫梓晴</t>
        </is>
      </c>
      <c r="C22" s="10" t="inlineStr">
        <is>
          <t>21-25物联网工程1班莫梓晴2025022101850职业规划书.docx</t>
        </is>
      </c>
      <c r="D22" s="13" t="inlineStr">
        <is>
          <t>成功</t>
        </is>
      </c>
      <c r="E22" s="14" t="n">
        <v>80.48999999999999</v>
      </c>
      <c r="F22" s="17" t="n">
        <v>128649</v>
      </c>
      <c r="G22" s="10" t="inlineStr">
        <is>
          <t>规划书结构完整，逻辑清晰，对自我认知、外部环境分析和发展路径有系统阐述。内容详实，目标明确，尤其在能力差距分析和具体提升计划上表现出色。但在行业与职业认知的深度、部分能力支撑的细节以及风险评估的全面性上仍有提升空间。</t>
        </is>
      </c>
      <c r="H22" s="13" t="inlineStr">
        <is>
          <t>成功</t>
        </is>
      </c>
      <c r="I22" s="14" t="n">
        <v>83.33</v>
      </c>
      <c r="J22" s="17" t="n">
        <v>134461</v>
      </c>
      <c r="K22" s="10" t="inlineStr">
        <is>
          <t>规划书结构完整，逻辑清晰。职业缘起部分叙述真实具体，自我认知深刻。能力盘点与目标岗位要求对比明确，规划路径详细。主要不足在于行业与职业认知部分分析深度不足，风险应对策略较为笼统。</t>
        </is>
      </c>
      <c r="L22" s="10" t="inlineStr">
        <is>
          <t>本次职业生涯规划书作业整体完成质量良好。优点在于规划书结构完整、逻辑清晰，对自我认知、外部环境分析和发展路径进行了系统阐述，内容详实，目标明确，尤其在能力差距分析和具体提升计划上表现出色。不足之处在于，对行业与职业的认知深度有待加强，部分能力支撑的细节可以更具体，同时风险评估的全面性及应对策略的针对性尚有提升空间。建议后续可深入研读行业报告，细化关键能力的提升步骤，并针对潜在风险设计更具体的预案。</t>
        </is>
      </c>
    </row>
    <row r="23" ht="60" customHeight="1">
      <c r="A23" s="13" t="inlineStr">
        <is>
          <t>20250220105</t>
        </is>
      </c>
      <c r="B23" s="13" t="inlineStr">
        <is>
          <t>物联网工程梁欣然</t>
        </is>
      </c>
      <c r="C23" s="10" t="inlineStr">
        <is>
          <t>22-物联网工程1班梁欣然20250220105职业规划书.docx</t>
        </is>
      </c>
      <c r="D23" s="13" t="inlineStr">
        <is>
          <t>成功</t>
        </is>
      </c>
      <c r="E23" s="14" t="n">
        <v>41.06</v>
      </c>
      <c r="F23" s="17" t="n">
        <v>168526</v>
      </c>
      <c r="G23" s="10" t="inlineStr">
        <is>
          <t>规划书结构清晰，逻辑性强。自我探索部分结合性格测试深入，外部分析有政策与行业依据，路径规划具体。但部分评分细则内容缺失或不够具体，导致扣分。</t>
        </is>
      </c>
      <c r="H23" s="13" t="inlineStr">
        <is>
          <t>成功</t>
        </is>
      </c>
      <c r="I23" s="14" t="n">
        <v>45.53</v>
      </c>
      <c r="J23" s="17" t="n">
        <v>177641</v>
      </c>
      <c r="K23" s="10" t="inlineStr">
        <is>
          <t>规划书结构清晰，内容详实，展现了深入的自我探索和行业认知。职业目标明确，路径规划具体，风险应对意识初步具备。但在职业缘起、行业认知深度、部分能力支撑及风险应对的具体策略方面存在不足，需进一步完善。</t>
        </is>
      </c>
      <c r="L23" s="10" t="inlineStr">
        <is>
          <t>本次职业生涯规划书作业展现了良好的结构意识和逻辑组织能力。自我探索部分能结合性格测试等工具进行深入分析，外部分析也注意到了政策与行业等宏观依据，职业目标较为明确，路径规划也具备一定的具体性。然而，作业在内容完整性与深度上仍有明显不足。部分关键评分细则的内容存在缺失或过于笼统，例如职业选择的深层缘起、对目标行业的认知深度、支撑目标的具体能力分析以及风险应对的具体策略等方面均显薄弱，这直接影响了作业的整体质量。建议你对照作业要求的具体评分点，逐一核查并补充缺失内容，尤其在行业认知和可行性分析部分，应结合更具体的市场数据、岗位能力模型进行深化，使规划更具说服力和可操作性。</t>
        </is>
      </c>
    </row>
    <row r="24" ht="60" customHeight="1">
      <c r="A24" s="13" t="inlineStr">
        <is>
          <t>202502210128</t>
        </is>
      </c>
      <c r="B24" s="13" t="inlineStr">
        <is>
          <t>冯堃梅</t>
        </is>
      </c>
      <c r="C24" s="10" t="inlineStr">
        <is>
          <t>23-25物联网工程1班冯堃梅202502210128专业分析报告.docx</t>
        </is>
      </c>
      <c r="D24" s="13" t="inlineStr">
        <is>
          <t>成功</t>
        </is>
      </c>
      <c r="E24" s="14" t="n">
        <v>88</v>
      </c>
      <c r="F24" s="17" t="n">
        <v>213659</v>
      </c>
      <c r="G24" s="10" t="inlineStr">
        <is>
          <t>报告结构清晰，内容详实，体现了对物联网与网络工程行业的深入调研。行业分析数据支撑有力，AI影响分析辩证，职业规划具体。主要不足在于部分分析深度不够，语言表达偶有重复，且正文字数偏少。</t>
        </is>
      </c>
      <c r="H24" s="13" t="inlineStr">
        <is>
          <t>成功</t>
        </is>
      </c>
      <c r="I24" s="14" t="n">
        <v>87.5</v>
      </c>
      <c r="J24" s="17" t="n">
        <v>232789</v>
      </c>
      <c r="K24" s="10" t="inlineStr">
        <is>
          <t>报告结构清晰，内容详实，对物联网与网络工程两个行业均有深入分析。行业现状与趋势部分数据支撑充分，AI影响分析较为辩证。岗位认知具体，发展路径明确。主要不足在于部分内容重复，且对物联网行业负面影响的讨论不够全面。</t>
        </is>
      </c>
      <c r="L24" s="10" t="inlineStr">
        <is>
          <t>本次作业《物联网与网络工程行业分析报告》整体完成质量较高。优点在于报告结构清晰，逻辑性强，对两个目标行业的现状、趋势及AI影响均进行了较为详实的调研与分析，数据支撑较为充分，职业规划部分也较为具体。不足之处在于，部分分析内容的深度有待加强，例如对物联网行业潜在负面影响的探讨不够全面；同时，报告在语言表达上存在一定的重复现象，且正文字数略显不足，影响了论述的充分性。建议未来在确保内容全面的基础上，进一步深化关键议题的剖析，并注重语言的精炼与表达的准确性，以提升报告的整体深度与专业性。</t>
        </is>
      </c>
    </row>
    <row r="25" ht="60" customHeight="1">
      <c r="A25" s="13" t="n"/>
      <c r="B25" s="13" t="n"/>
      <c r="C25" s="10" t="inlineStr">
        <is>
          <t>24-25物联网工程1班肖子妤物联网工程专业分析报告.docx</t>
        </is>
      </c>
      <c r="D25" s="13" t="inlineStr">
        <is>
          <t>成功</t>
        </is>
      </c>
      <c r="E25" s="14" t="n">
        <v>90</v>
      </c>
      <c r="F25" s="17" t="n">
        <v>257321</v>
      </c>
      <c r="G25" s="10" t="inlineStr">
        <is>
          <t>报告结构完整，内容详实，对物联网行业有较深入的分析。行业现状梳理数据详实，趋势判断有逻辑支撑。AI影响分析具体且量化，岗位认知清晰。但部分分析深度可加强，语言表达偶有冗余。</t>
        </is>
      </c>
      <c r="H25" s="13" t="inlineStr">
        <is>
          <t>成功</t>
        </is>
      </c>
      <c r="I25" s="14" t="n">
        <v>87</v>
      </c>
      <c r="J25" s="17" t="n">
        <v>284150</v>
      </c>
      <c r="K25" s="10" t="inlineStr">
        <is>
          <t>报告结构完整，论证清晰。行业分析数据详实，AI影响分析辩证，岗位定位明确。但部分分析深度不足，如行业趋势判断的逻辑链条可更严密，风险缓解建议较笼统，薪资分析的地域/公司类型差异可更具体。整体完成度较高。</t>
        </is>
      </c>
      <c r="L25" s="10" t="inlineStr">
        <is>
          <t>本次作业报告结构完整，内容详实，对物联网行业的现状梳理数据详实，趋势判断具备一定的逻辑支撑。在AI影响分析部分能够做到具体且量化，岗位认知也较为清晰，体现了较好的专业分析能力。然而，报告在部分分析的深度上仍有提升空间，例如行业趋势判断的逻辑链条可以更严密，风险缓解建议稍显笼统，语言表达偶有冗余。建议未来在论证的严密性和建议的具体性上多下功夫，例如在薪资分析中可进一步考虑地域与公司类型的差异，使报告更具洞察力和实践指导价值。</t>
        </is>
      </c>
    </row>
    <row r="26" ht="60" customHeight="1">
      <c r="A26" s="13" t="inlineStr">
        <is>
          <t>202302051618</t>
        </is>
      </c>
      <c r="B26" s="13" t="inlineStr">
        <is>
          <t>伍峙崧</t>
        </is>
      </c>
      <c r="C26" s="10" t="inlineStr">
        <is>
          <t>25-25物联网工程1班伍峙崧202302051618职业规划书.docx</t>
        </is>
      </c>
      <c r="D26" s="13" t="inlineStr">
        <is>
          <t>成功</t>
        </is>
      </c>
      <c r="E26" s="14" t="n">
        <v>15.45</v>
      </c>
      <c r="F26" s="17" t="n">
        <v>75548</v>
      </c>
      <c r="G26" s="10" t="inlineStr">
        <is>
          <t>规划书结构基本完整，但内容普遍缺乏深度与具体细节。职业缘起部分叙述过于简略，自我认知与行业分析严重不足。能力基础部分列举了部分内容，但匹配性分析薄弱。成长路径与风险应对部分过于笼统，可执行性不强。整体需大幅补充具体事实、数据和分析。</t>
        </is>
      </c>
      <c r="H26" s="13" t="inlineStr">
        <is>
          <t>成功</t>
        </is>
      </c>
      <c r="I26" s="14" t="n">
        <v>26.02</v>
      </c>
      <c r="J26" s="17" t="n">
        <v>83293</v>
      </c>
      <c r="K26" s="10" t="inlineStr">
        <is>
          <t>规划书结构基本完整，但内容普遍缺乏深度和具体细节。职业缘起部分叙述过于简略，自我认知与行业分析薄弱。能力基础部分列举了部分内容，但匹配性分析不足。成长路径与风险应对部分过于笼统，可执行性不强。整体需大幅补充具体事实、数据支撑和逻辑论证。</t>
        </is>
      </c>
      <c r="L26" s="10" t="inlineStr">
        <is>
          <t>本次提交的职业规划书在结构框架上基本完整，能够按照常见模块进行组织，这是值得肯定的基础。然而，作业内容存在明显的共性问题：论述普遍流于表面，缺乏深入的自我剖析和扎实的行业研究。具体而言，职业缘起部分过于简略，未能充分展现个人动机；自我认知与能力分析部分，虽有列举但未能有效论证其与目标职业的匹配度；成长路径和风险应对的设想则较为笼统，可操作性与现实考量不足。整体来看，规划书更像是一个初步提纲，离一份详实、可信、可执行的方案尚有较大距离。建议你后续着重从以下两方面改进：一是大量补充具体的个人经历事实、行业数据或案例作为论述支撑，增强说服力；二是加强各部分内容之间的逻辑连贯性，特别是自我能力与职业要求、阶段性目标与行动措施之间的内在联系，使规划成为一个有机整体。</t>
        </is>
      </c>
    </row>
    <row r="27" ht="60" customHeight="1">
      <c r="A27" s="13" t="n"/>
      <c r="B27" s="13" t="n"/>
      <c r="C27" s="10" t="inlineStr">
        <is>
          <t>26-25物联网工程1班 付豪 202502210063 职业生涯规划报告.docx</t>
        </is>
      </c>
      <c r="D27" s="13" t="inlineStr"/>
      <c r="E27" s="13" t="n"/>
      <c r="F27" s="13" t="n"/>
      <c r="G27" s="10" t="inlineStr">
        <is>
          <t>失败</t>
        </is>
      </c>
      <c r="H27" s="13" t="inlineStr"/>
      <c r="I27" s="13" t="n"/>
      <c r="J27" s="13" t="n"/>
      <c r="K27" s="10" t="inlineStr">
        <is>
          <t>失败</t>
        </is>
      </c>
      <c r="L27" s="10" t="n"/>
    </row>
    <row r="28" ht="60" customHeight="1">
      <c r="A28" s="13" t="inlineStr">
        <is>
          <t>202502210192</t>
        </is>
      </c>
      <c r="B28" s="13" t="inlineStr">
        <is>
          <t>王敬丹</t>
        </is>
      </c>
      <c r="C28" s="10" t="inlineStr">
        <is>
          <t>27-25物联网工程1班+王敬丹+202502210192+职业规划书_QQ浏览器转格式.docx</t>
        </is>
      </c>
      <c r="D28" s="13" t="inlineStr">
        <is>
          <t>成功</t>
        </is>
      </c>
      <c r="E28" s="14" t="n">
        <v>54.47</v>
      </c>
      <c r="F28" s="17" t="n">
        <v>114415</v>
      </c>
      <c r="G28" s="10" t="inlineStr">
        <is>
          <t>规划书结构完整，目标明确，对目标岗位有较深入的认知。职业路径规划具体，体现了较强的逻辑性和可执行性。但在职业缘起、自我特征分析、行业认知深度及风险应对方面存在不足，需进一步补充和完善。</t>
        </is>
      </c>
      <c r="H28" s="13" t="inlineStr">
        <is>
          <t>成功</t>
        </is>
      </c>
      <c r="I28" s="14" t="n">
        <v>52.85</v>
      </c>
      <c r="J28" s="17" t="n">
        <v>127377</v>
      </c>
      <c r="K28" s="10" t="inlineStr">
        <is>
          <t>规划书结构完整，目标明确，对AIoT工程师岗位有较深认知，路径规划具体。但职业缘起部分过于依赖性格测试，缺乏真实具体的个人经历支撑；行业与职业认知部分信息源未说明，分析深度不足；风险评估部分完全缺失，是重大扣分项。</t>
        </is>
      </c>
      <c r="L28" s="10" t="inlineStr">
        <is>
          <t>本次职业生涯规划作业展现了较好的整体框架意识，结构较为完整，职业目标设定明确，对AIoT工程师等目标岗位的职责与要求有基本认知。职业发展路径的规划步骤具体，体现了初步的逻辑思考与可执行性。然而，作业在关键环节的深度与完整性上存在明显不足：一是职业选择的缘起部分，过多依赖理论化的性格测试结果，缺乏结合个人真实经历与体验的生动阐述，说服力较弱；二是对行业与职业的认知分析，信息来源未作说明，导致分析停留在表面，深度不够；三是风险评估与应对策略部分完全缺失，这是规划类文档的重大缺陷。建议你：首先，补充个人与职业选择相关的具体故事或事件，增强规划的个性化与真实感；其次，在行业分析部分，明确引用可靠的资料或数据来源，并进行更深入的剖析；最后，务必增补对潜在职业风险的识别以及具体的应对预案，使规划更为周全。</t>
        </is>
      </c>
    </row>
    <row r="29" ht="60" customHeight="1">
      <c r="A29" s="13" t="inlineStr">
        <is>
          <t>202502210171</t>
        </is>
      </c>
      <c r="B29" s="13" t="inlineStr">
        <is>
          <t>左松铭</t>
        </is>
      </c>
      <c r="C29" s="10" t="inlineStr">
        <is>
          <t>28-25物联网工程1班左松铭202502210171+职业规划书.docx</t>
        </is>
      </c>
      <c r="D29" s="13" t="inlineStr">
        <is>
          <t>成功</t>
        </is>
      </c>
      <c r="E29" s="14" t="n">
        <v>18.7</v>
      </c>
      <c r="F29" s="17" t="n">
        <v>259373</v>
      </c>
      <c r="G29" s="10" t="inlineStr">
        <is>
          <t>规划书结构基本完整，但内容普遍缺乏深度与具体细节。职业缘起部分叙述过于简略，自我认知与行业分析不够深入。能力盘点与目标设定有一定关联，但成长路径与风险应对部分过于笼统，可执行性不足。整体规划较为初步，需进一步充实和细化。</t>
        </is>
      </c>
      <c r="H29" s="13" t="inlineStr">
        <is>
          <t>成功</t>
        </is>
      </c>
      <c r="I29" s="14" t="n">
        <v>29.27</v>
      </c>
      <c r="J29" s="17" t="n">
        <v>178303</v>
      </c>
      <c r="K29" s="10" t="inlineStr">
        <is>
          <t>规划书结构基本完整，但内容普遍缺乏深度与具体细节。职业缘起部分叙述过于简略，自我认知与行业分析不够深入。能力盘点与成长路径部分目标设定较为笼统，可执行性不足。风险应对部分完全缺失，规划弹性不足。</t>
        </is>
      </c>
      <c r="L29" s="10" t="inlineStr">
        <is>
          <t>本次职业规划作业在结构完整性方面表现尚可，能够按照基本框架进行组织。优点在于对个人能力与职业目标之间的关联性进行了初步思考，展现出一定的规划意识。然而，作业存在明显不足：内容普遍缺乏深度与具体细节，职业缘起、自我认知及行业分析等核心部分过于简略；成长路径与风险应对部分尤为薄弱，目标设定笼统，可执行性与规划弹性严重不足。建议你首先深入进行自我剖析和行业调研，用具体事例和数据支撑观点；其次，将长期目标分解为可量化、有时限的短期行动计划；最后，务必补充对潜在风险的识别与应对策略，使规划更具现实指导意义。</t>
        </is>
      </c>
    </row>
    <row r="30" ht="60" customHeight="1">
      <c r="A30" s="13" t="n"/>
      <c r="B30" s="13" t="n"/>
      <c r="C30" s="10" t="inlineStr">
        <is>
          <t>29-202502210191刘青林.docx</t>
        </is>
      </c>
      <c r="D30" s="13" t="inlineStr"/>
      <c r="E30" s="13" t="n"/>
      <c r="F30" s="13" t="n"/>
      <c r="G30" s="10" t="inlineStr">
        <is>
          <t>失败</t>
        </is>
      </c>
      <c r="H30" s="13" t="inlineStr"/>
      <c r="I30" s="13" t="n"/>
      <c r="J30" s="13" t="n"/>
      <c r="K30" s="10" t="inlineStr">
        <is>
          <t>失败</t>
        </is>
      </c>
      <c r="L30" s="10" t="n"/>
    </row>
    <row r="31" ht="60" customHeight="1">
      <c r="A31" s="13" t="inlineStr">
        <is>
          <t>202502210180</t>
        </is>
      </c>
      <c r="B31" s="13" t="inlineStr">
        <is>
          <t>刘星宇</t>
        </is>
      </c>
      <c r="C31" s="10" t="inlineStr">
        <is>
          <t>30-25物联网一班刘星宇202502210180专业分析报告.docx</t>
        </is>
      </c>
      <c r="D31" s="13" t="inlineStr">
        <is>
          <t>成功</t>
        </is>
      </c>
      <c r="E31" s="14" t="n">
        <v>87</v>
      </c>
      <c r="F31" s="17" t="n">
        <v>233433</v>
      </c>
      <c r="G31" s="10" t="inlineStr">
        <is>
          <t>报告结构完整，对物联网行业分析较为深入，数据详实，企业案例具体。AI影响分析辩证，个人定位清晰。但部分分析深度不足，趋势判断的证据链条稍显薄弱，部分量化价值阐述不够具体。</t>
        </is>
      </c>
      <c r="H31" s="13" t="inlineStr">
        <is>
          <t>成功</t>
        </is>
      </c>
      <c r="I31" s="14" t="n">
        <v>88</v>
      </c>
      <c r="J31" s="17" t="n">
        <v>285236</v>
      </c>
      <c r="K31" s="10" t="inlineStr">
        <is>
          <t>报告结构完整，内容详实，对物联网行业有较深入的分析。行业现状与趋势部分数据丰富，企业案例分析具体。AI影响分析较为全面，个人职业定位清晰。但部分分析深度有待加强，如行业痛点、AI负面影响的具体缓解建议等。整体完成度较高。</t>
        </is>
      </c>
      <c r="L31" s="10" t="inlineStr">
        <is>
          <t>本次作业整体完成度较高，展现了良好的专业素养。优点在于报告结构完整，逻辑清晰，对物联网行业的现状、趋势及企业案例进行了较为深入和具体的分析，数据详实，论证有力。同时，关于AI技术影响的思考较为全面，个人职业定位也较为清晰。不足之处在于，部分关键分析（如行业痛点、AI的潜在负面影响及其缓解策略）的深度有待加强，论证的证据链条可以更紧密，部分量化价值的阐述也略显笼统。建议未来在深化核心论点时，可进一步挖掘一手数据或行业报告，并尝试构建更严谨的因果逻辑，使结论更具说服力。</t>
        </is>
      </c>
    </row>
    <row r="32" ht="60" customHeight="1">
      <c r="A32" s="13" t="inlineStr">
        <is>
          <t>202502210155</t>
        </is>
      </c>
      <c r="B32" s="13" t="inlineStr">
        <is>
          <t>张景沅</t>
        </is>
      </c>
      <c r="C32" s="10" t="inlineStr">
        <is>
          <t>31-25物联网工程1班+张景沅+202502210155+职业规划书.docx</t>
        </is>
      </c>
      <c r="D32" s="13" t="inlineStr">
        <is>
          <t>成功</t>
        </is>
      </c>
      <c r="E32" s="14" t="n">
        <v>8.94</v>
      </c>
      <c r="F32" s="17" t="n">
        <v>273434</v>
      </c>
      <c r="G32" s="10" t="inlineStr">
        <is>
          <t>作业结构基本完整，但内容严重不足，缺乏具体、深入的阐述与分析。职业缘起部分缺失，能力盘点与职业认知过于简略，成长路径与风险应对计划几乎空白。整体规划流于表面，可执行性差。</t>
        </is>
      </c>
      <c r="H32" s="13" t="inlineStr">
        <is>
          <t>成功</t>
        </is>
      </c>
      <c r="I32" s="14" t="n">
        <v>19.51</v>
      </c>
      <c r="J32" s="17" t="n">
        <v>278963</v>
      </c>
      <c r="K32" s="10" t="inlineStr">
        <is>
          <t>规划书结构基本完整，但内容普遍缺乏深度和具体细节。职业缘起部分叙述过于简略，自我认知与行业职业分析严重不足。能力盘点与目标岗位的匹配性论证薄弱，成长路径和风险应对部分内容缺失或过于笼统，可执行性差。整体来看，规划较为空泛，缺乏扎实的调研和深入的自我剖析。</t>
        </is>
      </c>
      <c r="L32" s="10" t="inlineStr">
        <is>
          <t>本次职业规划作业结构框架基本完整，但内容质量亟待提升。主要优点在于能够按照规划书的基本格式搭建框架，显示出对作业要求的初步理解。然而，不足之处非常明显：内容普遍空泛、严重缺乏深度和具体细节。例如，职业缘起部分叙述简略，自我认知与行业分析严重不足，能力盘点与目标岗位的匹配性论证薄弱，成长路径和风险应对计划几乎空白或过于笼统，导致整个规划的可执行性很差。建议你：第一，进行深入的自我剖析和扎实的行业调研，用具体事实和数据支撑你的认知与选择；第二，详细规划每一步的成长路径，包括具体的时间节点、要获取的技能或资格，并思考切实可行的风险应对策略。</t>
        </is>
      </c>
    </row>
    <row r="33" ht="60" customHeight="1">
      <c r="A33" s="13" t="inlineStr">
        <is>
          <t>202502210160</t>
        </is>
      </c>
      <c r="B33" s="13" t="inlineStr">
        <is>
          <t>谢烁宇</t>
        </is>
      </c>
      <c r="C33" s="10" t="inlineStr">
        <is>
          <t>32-25物联网工程1班 谢烁宇 202502210160 专业分析报告.docx</t>
        </is>
      </c>
      <c r="D33" s="13" t="inlineStr">
        <is>
          <t>成功</t>
        </is>
      </c>
      <c r="E33" s="14" t="n">
        <v>100</v>
      </c>
      <c r="F33" s="17" t="n">
        <v>116874</v>
      </c>
      <c r="G33" s="10" t="inlineStr">
        <is>
          <t>报告结构完整，数据详实，论证清晰。行业分析部分数据支撑有力，AI影响分析辩证深入，职业规划具体可行。语言表达流畅，格式规范。整体是一份高质量的专业分析报告。</t>
        </is>
      </c>
      <c r="H33" s="13" t="inlineStr">
        <is>
          <t>成功</t>
        </is>
      </c>
      <c r="I33" s="14" t="n">
        <v>90.5</v>
      </c>
      <c r="J33" s="17" t="n">
        <v>125130</v>
      </c>
      <c r="K33" s="10" t="inlineStr">
        <is>
          <t>报告结构完整，数据详实，对物联网行业现状、趋势、AI影响及个人规划进行了全面分析。行业分析部分数据支撑有力，AI影响分析辩证深入，职业规划具体可行。主要不足在于行业现状梳理中对“核心玩家/生态”的宏观分析稍显薄弱，岗位认知部分对职责与成长路径的阐述可更具体。整体是一份高质量的专业分析报告。</t>
        </is>
      </c>
      <c r="L33" s="10" t="inlineStr">
        <is>
          <t>本份专业分析报告整体质量较高。优点在于报告结构完整、逻辑清晰，行业分析部分数据详实、支撑有力，对AI影响的探讨能够做到辩证深入，提出的个人职业规划也较为具体可行，语言表达流畅，格式规范。不足之处在于，对行业现状中核心竞争格局或生态系统的宏观分析可以进一步加强深度与广度；此外，在岗位认知部分，对具体职责与职业成长路径的阐述可以更加细致和具体。建议未来在类似的分析中，加强对行业关键参与者和产业链结构的宏观梳理，并尝试结合更具体的岗位信息来深化对职业路径的理解与规划。</t>
        </is>
      </c>
    </row>
    <row r="34" ht="60" customHeight="1">
      <c r="A34" s="13" t="inlineStr">
        <is>
          <t>202502210109</t>
        </is>
      </c>
      <c r="B34" s="13" t="inlineStr">
        <is>
          <t>李昕锐</t>
        </is>
      </c>
      <c r="C34" s="10" t="inlineStr">
        <is>
          <t>33-2025物联网工程1班李昕锐202502210109专业分析报告.docx</t>
        </is>
      </c>
      <c r="D34" s="13" t="inlineStr">
        <is>
          <t>成功</t>
        </is>
      </c>
      <c r="E34" s="14" t="n">
        <v>61</v>
      </c>
      <c r="F34" s="17" t="n">
        <v>115100</v>
      </c>
      <c r="G34" s="10" t="inlineStr">
        <is>
          <t>报告对物联网行业有宏观认识，专业理解较深入，AI影响分析有辩证思考，职业定位结合了专业特点。但行业现状梳理缺乏具体数据与可信来源支撑，趋势判断逻辑链条不够紧密，部分分析较为笼统，报告结构完整性有待加强。</t>
        </is>
      </c>
      <c r="H34" s="13" t="inlineStr">
        <is>
          <t>成功</t>
        </is>
      </c>
      <c r="I34" s="14" t="n">
        <v>55</v>
      </c>
      <c r="J34" s="17" t="n">
        <v>237647</v>
      </c>
      <c r="K34" s="10" t="inlineStr">
        <is>
          <t>报告对物联网行业有宏观认知，专业理解较准确，AI影响分析有一定深度。但行业现状梳理缺乏具体数据与信息来源，趋势分析逻辑链条不够严密，岗位认知部分未结合个人匹配点深入分析，薪资预期缺失。整体结构尚可，但部分论述偏宏观，细节支撑不足。</t>
        </is>
      </c>
      <c r="L34" s="10" t="inlineStr">
        <is>
          <t>本次作业对物联网行业的宏观认知较为清晰，专业理解也体现出一定的深度，特别是在分析AI对行业的影响时展现了辩证思考的能力，职业定位也结合了专业特点，这些都是值得肯定的优点。然而，作业也存在明显的不足之处：行业现状的梳理缺乏具体数据和可靠来源的支撑，使得论述的说服力不足；趋势分析的逻辑链条不够紧密，部分判断显得较为笼统；此外，报告在结构完整性和细节论证上仍有提升空间，例如岗位认知部分未能深入结合个人情况进行匹配分析。建议在今后的作业中，加强对行业数据的搜集与引用，构建更严谨的分析逻辑，并在论述中补充更多具体的细节和实例来支撑观点，使报告更加扎实、有深度。</t>
        </is>
      </c>
    </row>
    <row r="35" ht="60" customHeight="1">
      <c r="A35" s="13" t="n"/>
      <c r="B35" s="13" t="n"/>
      <c r="C35" s="10" t="inlineStr">
        <is>
          <t>34-202502210120洪嘉兴《专业认知实践》课程报告.doc(2).docx</t>
        </is>
      </c>
      <c r="D35" s="13" t="inlineStr"/>
      <c r="E35" s="13" t="n"/>
      <c r="F35" s="13" t="n"/>
      <c r="G35" s="10" t="inlineStr">
        <is>
          <t>失败</t>
        </is>
      </c>
      <c r="H35" s="13" t="inlineStr"/>
      <c r="I35" s="13" t="n"/>
      <c r="J35" s="13" t="n"/>
      <c r="K35" s="10" t="inlineStr">
        <is>
          <t>失败</t>
        </is>
      </c>
      <c r="L35" s="10" t="n"/>
    </row>
    <row r="36" ht="60" customHeight="1">
      <c r="A36" s="13" t="n"/>
      <c r="B36" s="13" t="n"/>
      <c r="C36" s="10" t="inlineStr">
        <is>
          <t>35-202502210181邓蔚其.doc.docx</t>
        </is>
      </c>
      <c r="D36" s="13" t="inlineStr"/>
      <c r="E36" s="13" t="n"/>
      <c r="F36" s="13" t="n"/>
      <c r="G36" s="10" t="inlineStr">
        <is>
          <t>失败</t>
        </is>
      </c>
      <c r="H36" s="13" t="inlineStr"/>
      <c r="I36" s="13" t="n"/>
      <c r="J36" s="13" t="n"/>
      <c r="K36" s="10" t="inlineStr">
        <is>
          <t>失败</t>
        </is>
      </c>
      <c r="L36" s="10" t="n"/>
    </row>
    <row r="37" ht="60" customHeight="1">
      <c r="A37" s="13" t="n"/>
      <c r="B37" s="13" t="n"/>
      <c r="C37" s="10" t="inlineStr">
        <is>
          <t>36-物联网一班202502210108黄萧烁.docx</t>
        </is>
      </c>
      <c r="D37" s="13" t="inlineStr"/>
      <c r="E37" s="13" t="n"/>
      <c r="F37" s="13" t="n"/>
      <c r="G37" s="10" t="inlineStr">
        <is>
          <t>失败</t>
        </is>
      </c>
      <c r="H37" s="13" t="inlineStr"/>
      <c r="I37" s="13" t="n"/>
      <c r="J37" s="13" t="n"/>
      <c r="K37" s="10" t="inlineStr">
        <is>
          <t>失败</t>
        </is>
      </c>
      <c r="L37" s="10" t="n"/>
    </row>
    <row r="38" ht="60" customHeight="1">
      <c r="A38" s="13" t="inlineStr">
        <is>
          <t>202502210094</t>
        </is>
      </c>
      <c r="B38" s="13" t="inlineStr">
        <is>
          <t>李泽宇</t>
        </is>
      </c>
      <c r="C38" s="10" t="inlineStr">
        <is>
          <t>37-25物联网工程1班李泽宇202502210094专业分析报告.docx</t>
        </is>
      </c>
      <c r="D38" s="13" t="inlineStr">
        <is>
          <t>成功</t>
        </is>
      </c>
      <c r="E38" s="14" t="n">
        <v>68</v>
      </c>
      <c r="F38" s="17" t="n">
        <v>177404</v>
      </c>
      <c r="G38" s="10" t="inlineStr">
        <is>
          <t>报告对物联网行业有宏观认识，并结合专业进行了分析。但行业现状梳理不够系统，缺乏对核心玩家、痛点与机会的明确说明；AI影响分析中，正面影响的价值量化不足，风险缓解建议较弱；岗位认知部分对职责与成长路径描述不够具体；报告结构尚可，但语言表达存在口语化问题。</t>
        </is>
      </c>
      <c r="H38" s="13" t="inlineStr">
        <is>
          <t>成功</t>
        </is>
      </c>
      <c r="I38" s="14" t="n">
        <v>63</v>
      </c>
      <c r="J38" s="17" t="n">
        <v>236756</v>
      </c>
      <c r="K38" s="10" t="inlineStr">
        <is>
          <t>报告对物联网行业有较为全面的认识，能结合具体场景分析AI影响，并对个人职业规划有初步思考。但行业宏观分析深度不足，缺乏可信信息来源标注；AI负面影响分析较笼统，缓解建议不够具体；职业定位部分对岗位职责与自身匹配点的论述不够深入。整体结构尚可，但论证逻辑与细节支撑有待加强。</t>
        </is>
      </c>
      <c r="L38" s="10" t="inlineStr">
        <is>
          <t>本次作业展现了学生对物联网行业的宏观认识，能够结合专业背景进行分析，并对AI影响及个人职业规划进行了初步思考，整体结构较为完整。然而，报告在行业现状梳理上不够系统，缺乏对核心竞争格局、关键痛点与机会的深入剖析；在AI影响分析部分，正面影响的价值量化不足，对潜在风险的识别与缓解建议较为薄弱；职业认知方面，对目标岗位的具体职责、能力要求及个人成长路径的描述不够清晰和具体。此外，语言表达存在一定的口语化倾向，论证逻辑与细节支撑有待进一步加强。建议后续可补充权威行业数据来源，增强分析的客观性与说服力；针对AI的影响，应结合具体案例进行更细致的价值与风险评估；在职业规划部分，需更明确地论述岗位要求与自身技能、兴趣的匹配点。</t>
        </is>
      </c>
    </row>
    <row r="39" ht="60" customHeight="1">
      <c r="A39" s="13" t="n"/>
      <c r="B39" s="13" t="n"/>
      <c r="C39" s="10" t="inlineStr">
        <is>
          <t>38-物联网一班陈鹏宇202502210124.docx</t>
        </is>
      </c>
      <c r="D39" s="13" t="inlineStr"/>
      <c r="E39" s="13" t="n"/>
      <c r="F39" s="13" t="n"/>
      <c r="G39" s="10" t="inlineStr">
        <is>
          <t>失败</t>
        </is>
      </c>
      <c r="H39" s="13" t="inlineStr"/>
      <c r="I39" s="13" t="n"/>
      <c r="J39" s="13" t="n"/>
      <c r="K39" s="10" t="inlineStr">
        <is>
          <t>失败</t>
        </is>
      </c>
      <c r="L39" s="10" t="n"/>
    </row>
  </sheetData>
  <conditionalFormatting sqref="A2:L39">
    <cfRule type="expression" priority="1" dxfId="0">
      <formula>MOD(ROW(),2)=0</formula>
    </cfRule>
  </conditionalFormatting>
  <conditionalFormatting sqref="D2:D39">
    <cfRule type="expression" priority="2" dxfId="1">
      <formula>EXACT($D2,"成功")</formula>
    </cfRule>
    <cfRule type="expression" priority="3" dxfId="2">
      <formula>EXACT($D2,"失败")</formula>
    </cfRule>
  </conditionalFormatting>
  <conditionalFormatting sqref="H2:H39">
    <cfRule type="expression" priority="4" dxfId="1">
      <formula>EXACT($H2,"成功")</formula>
    </cfRule>
    <cfRule type="expression" priority="5" dxfId="2">
      <formula>EXACT($H2,"失败")</formula>
    </cfRule>
  </conditionalFormatting>
  <conditionalFormatting sqref="E2:E39">
    <cfRule type="colorScale" priority="6">
      <colorScale>
        <cfvo type="min"/>
        <cfvo type="percentile" val="50"/>
        <cfvo type="max"/>
        <color rgb="00F8696B"/>
        <color rgb="00FFEB84"/>
        <color rgb="0063BE7B"/>
      </colorScale>
    </cfRule>
  </conditionalFormatting>
  <conditionalFormatting sqref="I2:I39">
    <cfRule type="colorScale" priority="7">
      <colorScale>
        <cfvo type="min"/>
        <cfvo type="percentile" val="50"/>
        <cfvo type="max"/>
        <color rgb="00F8696B"/>
        <color rgb="00FFEB84"/>
        <color rgb="0063BE7B"/>
      </colorScale>
    </cfRule>
  </conditionalFormatting>
  <conditionalFormatting sqref="G2:G39">
    <cfRule type="expression" priority="8" dxfId="1">
      <formula>TRUE</formula>
    </cfRule>
  </conditionalFormatting>
  <conditionalFormatting sqref="K2:K39">
    <cfRule type="expression" priority="9" dxfId="1">
      <formula>TRUE</formula>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J39"/>
  <sheetViews>
    <sheetView showGridLines="0" zoomScale="110" workbookViewId="0">
      <pane ySplit="1" topLeftCell="A2" activePane="bottomLeft" state="frozen"/>
      <selection pane="bottomLeft" activeCell="A1" sqref="A1"/>
    </sheetView>
  </sheetViews>
  <sheetFormatPr baseColWidth="8" defaultRowHeight="15"/>
  <cols>
    <col width="16" customWidth="1" min="1" max="1"/>
    <col width="11.6" customWidth="1" min="2" max="2"/>
    <col width="10" customWidth="1" min="3" max="3"/>
    <col width="17.6" customWidth="1" min="4" max="4"/>
    <col width="12.8" customWidth="1" min="5" max="5"/>
    <col width="15.2" customWidth="1" min="6" max="6"/>
    <col width="12.8" customWidth="1" min="7" max="7"/>
    <col width="12.8" customWidth="1" min="8" max="8"/>
    <col width="10.4" customWidth="1" min="9" max="9"/>
    <col width="16.4" customWidth="1" min="10" max="10"/>
  </cols>
  <sheetData>
    <row r="1" ht="24" customHeight="1">
      <c r="A1" s="12" t="inlineStr">
        <is>
          <t>学号</t>
        </is>
      </c>
      <c r="B1" s="12" t="inlineStr">
        <is>
          <t>姓名</t>
        </is>
      </c>
      <c r="C1" s="12" t="inlineStr">
        <is>
          <t>最终分</t>
        </is>
      </c>
      <c r="D1" s="12" t="inlineStr">
        <is>
          <t>AI 对行业影响的辩证分析</t>
        </is>
      </c>
      <c r="E1" s="12" t="inlineStr">
        <is>
          <t>动态调整与风险应对</t>
        </is>
      </c>
      <c r="F1" s="12" t="inlineStr">
        <is>
          <t>岗位认知与个人职业定位</t>
        </is>
      </c>
      <c r="G1" s="12" t="inlineStr">
        <is>
          <t>报告结构与表达规范</t>
        </is>
      </c>
      <c r="H1" s="12" t="inlineStr">
        <is>
          <t>职业目标与能力基础</t>
        </is>
      </c>
      <c r="I1" s="12" t="inlineStr">
        <is>
          <t>职业缘起与认知</t>
        </is>
      </c>
      <c r="J1" s="12" t="inlineStr">
        <is>
          <t>行业与专业匹配的宏观分析</t>
        </is>
      </c>
    </row>
    <row r="2">
      <c r="A2" s="13" t="inlineStr">
        <is>
          <t>202502210167</t>
        </is>
      </c>
      <c r="B2" s="13" t="inlineStr">
        <is>
          <t>李靖镖</t>
        </is>
      </c>
      <c r="C2" s="14" t="n">
        <v>88.75</v>
      </c>
      <c r="D2" s="14" t="n">
        <v>26.5</v>
      </c>
      <c r="E2" s="13" t="n"/>
      <c r="F2" s="14" t="n">
        <v>21.5</v>
      </c>
      <c r="G2" s="14" t="n">
        <v>9.5</v>
      </c>
      <c r="H2" s="13" t="n"/>
      <c r="I2" s="13" t="n"/>
      <c r="J2" s="14" t="n">
        <v>31.25</v>
      </c>
    </row>
    <row r="3">
      <c r="A3" s="13" t="inlineStr">
        <is>
          <t>202502210147</t>
        </is>
      </c>
      <c r="B3" s="13" t="inlineStr">
        <is>
          <t>汤智健</t>
        </is>
      </c>
      <c r="C3" s="14" t="n">
        <v>92.25</v>
      </c>
      <c r="D3" s="14" t="n">
        <v>27.5</v>
      </c>
      <c r="E3" s="13" t="n"/>
      <c r="F3" s="14" t="n">
        <v>23.75</v>
      </c>
      <c r="G3" s="14" t="n">
        <v>9.5</v>
      </c>
      <c r="H3" s="13" t="n"/>
      <c r="I3" s="13" t="n"/>
      <c r="J3" s="14" t="n">
        <v>31.5</v>
      </c>
    </row>
    <row r="4">
      <c r="A4" s="13" t="n"/>
      <c r="B4" s="13" t="n"/>
      <c r="C4" s="13" t="n"/>
      <c r="D4" s="13" t="n"/>
      <c r="E4" s="13" t="n"/>
      <c r="F4" s="13" t="n"/>
      <c r="G4" s="13" t="n"/>
      <c r="H4" s="13" t="n"/>
      <c r="I4" s="13" t="n"/>
      <c r="J4" s="13" t="n"/>
    </row>
    <row r="5">
      <c r="A5" s="13" t="inlineStr">
        <is>
          <t>202502210088</t>
        </is>
      </c>
      <c r="B5" s="13" t="inlineStr">
        <is>
          <t>物联网工程</t>
        </is>
      </c>
      <c r="C5" s="14" t="n">
        <v>72</v>
      </c>
      <c r="D5" s="14" t="n">
        <v>24</v>
      </c>
      <c r="E5" s="13" t="n"/>
      <c r="F5" s="14" t="n">
        <v>13.5</v>
      </c>
      <c r="G5" s="14" t="n">
        <v>7.5</v>
      </c>
      <c r="H5" s="13" t="n"/>
      <c r="I5" s="13" t="n"/>
      <c r="J5" s="14" t="n">
        <v>27</v>
      </c>
    </row>
    <row r="6">
      <c r="A6" s="13" t="inlineStr">
        <is>
          <t>202502210148</t>
        </is>
      </c>
      <c r="B6" s="13" t="inlineStr">
        <is>
          <t>罗洋</t>
        </is>
      </c>
      <c r="C6" s="14" t="n">
        <v>5.08</v>
      </c>
      <c r="D6" s="13" t="n"/>
      <c r="E6" s="14" t="n">
        <v>0</v>
      </c>
      <c r="F6" s="13" t="n"/>
      <c r="G6" s="13" t="n"/>
      <c r="H6" s="14" t="n">
        <v>0.5</v>
      </c>
      <c r="I6" s="14" t="n">
        <v>5.75</v>
      </c>
      <c r="J6" s="13" t="n"/>
    </row>
    <row r="7">
      <c r="A7" s="13" t="inlineStr">
        <is>
          <t>202502210096</t>
        </is>
      </c>
      <c r="B7" s="13" t="inlineStr">
        <is>
          <t>刘锐杨</t>
        </is>
      </c>
      <c r="C7" s="14" t="n">
        <v>49.5</v>
      </c>
      <c r="D7" s="14" t="n">
        <v>15.5</v>
      </c>
      <c r="E7" s="13" t="n"/>
      <c r="F7" s="14" t="n">
        <v>6</v>
      </c>
      <c r="G7" s="14" t="n">
        <v>4.5</v>
      </c>
      <c r="H7" s="13" t="n"/>
      <c r="I7" s="13" t="n"/>
      <c r="J7" s="14" t="n">
        <v>23.5</v>
      </c>
    </row>
    <row r="8">
      <c r="A8" s="13" t="inlineStr">
        <is>
          <t>202502210184</t>
        </is>
      </c>
      <c r="B8" s="13" t="inlineStr">
        <is>
          <t>莫曜鸿</t>
        </is>
      </c>
      <c r="C8" s="14" t="n">
        <v>56.91</v>
      </c>
      <c r="D8" s="13" t="n"/>
      <c r="E8" s="14" t="n">
        <v>14</v>
      </c>
      <c r="F8" s="13" t="n"/>
      <c r="G8" s="13" t="n"/>
      <c r="H8" s="14" t="n">
        <v>36.5</v>
      </c>
      <c r="I8" s="14" t="n">
        <v>19.5</v>
      </c>
      <c r="J8" s="13" t="n"/>
    </row>
    <row r="9">
      <c r="A9" s="13" t="inlineStr">
        <is>
          <t>202502210150</t>
        </is>
      </c>
      <c r="B9" s="13" t="inlineStr">
        <is>
          <t>杨天</t>
        </is>
      </c>
      <c r="C9" s="14" t="n">
        <v>35.37</v>
      </c>
      <c r="D9" s="13" t="n"/>
      <c r="E9" s="14" t="n">
        <v>4</v>
      </c>
      <c r="F9" s="13" t="n"/>
      <c r="G9" s="13" t="n"/>
      <c r="H9" s="14" t="n">
        <v>33.5</v>
      </c>
      <c r="I9" s="14" t="n">
        <v>6</v>
      </c>
      <c r="J9" s="13" t="n"/>
    </row>
    <row r="10">
      <c r="A10" s="13" t="inlineStr">
        <is>
          <t>202502210127</t>
        </is>
      </c>
      <c r="B10" s="13" t="inlineStr">
        <is>
          <t>何荣林</t>
        </is>
      </c>
      <c r="C10" s="14" t="n">
        <v>30.9</v>
      </c>
      <c r="D10" s="13" t="n"/>
      <c r="E10" s="14" t="n">
        <v>12</v>
      </c>
      <c r="F10" s="13" t="n"/>
      <c r="G10" s="13" t="n"/>
      <c r="H10" s="14" t="n">
        <v>18.5</v>
      </c>
      <c r="I10" s="14" t="n">
        <v>7.5</v>
      </c>
      <c r="J10" s="13" t="n"/>
    </row>
    <row r="11">
      <c r="A11" s="13" t="inlineStr">
        <is>
          <t>202502210204</t>
        </is>
      </c>
      <c r="B11" s="13" t="inlineStr">
        <is>
          <t>物联网工程何颂平</t>
        </is>
      </c>
      <c r="C11" s="14" t="n">
        <v>89.63</v>
      </c>
      <c r="D11" s="13" t="n"/>
      <c r="E11" s="14" t="n">
        <v>18</v>
      </c>
      <c r="F11" s="13" t="n"/>
      <c r="G11" s="13" t="n"/>
      <c r="H11" s="14" t="n">
        <v>45.75</v>
      </c>
      <c r="I11" s="14" t="n">
        <v>46.5</v>
      </c>
      <c r="J11" s="13" t="n"/>
    </row>
    <row r="12">
      <c r="A12" s="13" t="n"/>
      <c r="B12" s="13" t="n"/>
      <c r="C12" s="13" t="n"/>
      <c r="D12" s="13" t="n"/>
      <c r="E12" s="13" t="n"/>
      <c r="F12" s="13" t="n"/>
      <c r="G12" s="13" t="n"/>
      <c r="H12" s="13" t="n"/>
      <c r="I12" s="13" t="n"/>
      <c r="J12" s="13" t="n"/>
    </row>
    <row r="13">
      <c r="A13" s="13" t="n"/>
      <c r="B13" s="13" t="n"/>
      <c r="C13" s="13" t="n"/>
      <c r="D13" s="13" t="n"/>
      <c r="E13" s="13" t="n"/>
      <c r="F13" s="13" t="n"/>
      <c r="G13" s="13" t="n"/>
      <c r="H13" s="13" t="n"/>
      <c r="I13" s="13" t="n"/>
      <c r="J13" s="13" t="n"/>
    </row>
    <row r="14">
      <c r="A14" s="13" t="inlineStr">
        <is>
          <t>202502210110</t>
        </is>
      </c>
      <c r="B14" s="13" t="inlineStr">
        <is>
          <t>刘辉龙</t>
        </is>
      </c>
      <c r="C14" s="14" t="n">
        <v>27.24</v>
      </c>
      <c r="D14" s="13" t="n"/>
      <c r="E14" s="14" t="n">
        <v>0</v>
      </c>
      <c r="F14" s="13" t="n"/>
      <c r="G14" s="13" t="n"/>
      <c r="H14" s="14" t="n">
        <v>19.5</v>
      </c>
      <c r="I14" s="14" t="n">
        <v>14</v>
      </c>
      <c r="J14" s="13" t="n"/>
    </row>
    <row r="15">
      <c r="A15" s="13" t="inlineStr">
        <is>
          <t>202502210113</t>
        </is>
      </c>
      <c r="B15" s="13" t="inlineStr">
        <is>
          <t>刘宇轩</t>
        </is>
      </c>
      <c r="C15" s="14" t="n">
        <v>31.71</v>
      </c>
      <c r="D15" s="13" t="n"/>
      <c r="E15" s="14" t="n">
        <v>0</v>
      </c>
      <c r="F15" s="13" t="n"/>
      <c r="G15" s="13" t="n"/>
      <c r="H15" s="14" t="n">
        <v>17</v>
      </c>
      <c r="I15" s="14" t="n">
        <v>22</v>
      </c>
      <c r="J15" s="13" t="n"/>
    </row>
    <row r="16">
      <c r="A16" s="13" t="inlineStr">
        <is>
          <t>202502210216</t>
        </is>
      </c>
      <c r="B16" s="13" t="inlineStr">
        <is>
          <t>叶威佳</t>
        </is>
      </c>
      <c r="C16" s="14" t="n">
        <v>26.83</v>
      </c>
      <c r="D16" s="13" t="n"/>
      <c r="E16" s="14" t="n">
        <v>0</v>
      </c>
      <c r="F16" s="13" t="n"/>
      <c r="G16" s="13" t="n"/>
      <c r="H16" s="14" t="n">
        <v>18</v>
      </c>
      <c r="I16" s="14" t="n">
        <v>15</v>
      </c>
      <c r="J16" s="13" t="n"/>
    </row>
    <row r="17">
      <c r="A17" s="13" t="inlineStr">
        <is>
          <t>202502210073</t>
        </is>
      </c>
      <c r="B17" s="13" t="inlineStr">
        <is>
          <t>物联网工程李金瀚</t>
        </is>
      </c>
      <c r="C17" s="14" t="n">
        <v>23.17</v>
      </c>
      <c r="D17" s="13" t="n"/>
      <c r="E17" s="14" t="n">
        <v>0</v>
      </c>
      <c r="F17" s="13" t="n"/>
      <c r="G17" s="13" t="n"/>
      <c r="H17" s="14" t="n">
        <v>12</v>
      </c>
      <c r="I17" s="14" t="n">
        <v>16.5</v>
      </c>
      <c r="J17" s="13" t="n"/>
    </row>
    <row r="18">
      <c r="A18" s="13" t="n"/>
      <c r="B18" s="13" t="n"/>
      <c r="C18" s="14" t="n">
        <v>25.61</v>
      </c>
      <c r="D18" s="13" t="n"/>
      <c r="E18" s="14" t="n">
        <v>0</v>
      </c>
      <c r="F18" s="13" t="n"/>
      <c r="G18" s="13" t="n"/>
      <c r="H18" s="14" t="n">
        <v>13</v>
      </c>
      <c r="I18" s="14" t="n">
        <v>18.5</v>
      </c>
      <c r="J18" s="13" t="n"/>
    </row>
    <row r="19">
      <c r="A19" s="13" t="n"/>
      <c r="B19" s="13" t="n"/>
      <c r="C19" s="13" t="n"/>
      <c r="D19" s="13" t="n"/>
      <c r="E19" s="13" t="n"/>
      <c r="F19" s="13" t="n"/>
      <c r="G19" s="13" t="n"/>
      <c r="H19" s="13" t="n"/>
      <c r="I19" s="13" t="n"/>
      <c r="J19" s="13" t="n"/>
    </row>
    <row r="20">
      <c r="A20" s="13" t="inlineStr">
        <is>
          <t>202502210078</t>
        </is>
      </c>
      <c r="B20" s="13" t="inlineStr">
        <is>
          <t>赵晓彤</t>
        </is>
      </c>
      <c r="C20" s="14" t="n">
        <v>46.34</v>
      </c>
      <c r="D20" s="13" t="n"/>
      <c r="E20" s="14" t="n">
        <v>1.5</v>
      </c>
      <c r="F20" s="13" t="n"/>
      <c r="G20" s="13" t="n"/>
      <c r="H20" s="14" t="n">
        <v>30.5</v>
      </c>
      <c r="I20" s="14" t="n">
        <v>25</v>
      </c>
      <c r="J20" s="13" t="n"/>
    </row>
    <row r="21">
      <c r="A21" s="13" t="inlineStr">
        <is>
          <t>20250221099</t>
        </is>
      </c>
      <c r="B21" s="13" t="inlineStr">
        <is>
          <t>薛慧珊</t>
        </is>
      </c>
      <c r="C21" s="14" t="n">
        <v>22.36</v>
      </c>
      <c r="D21" s="13" t="n"/>
      <c r="E21" s="14" t="n">
        <v>0</v>
      </c>
      <c r="F21" s="13" t="n"/>
      <c r="G21" s="13" t="n"/>
      <c r="H21" s="14" t="n">
        <v>14</v>
      </c>
      <c r="I21" s="14" t="n">
        <v>13.5</v>
      </c>
      <c r="J21" s="13" t="n"/>
    </row>
    <row r="22">
      <c r="A22" s="13" t="inlineStr">
        <is>
          <t>2025022101850</t>
        </is>
      </c>
      <c r="B22" s="13" t="inlineStr">
        <is>
          <t>莫梓晴</t>
        </is>
      </c>
      <c r="C22" s="14" t="n">
        <v>81.91</v>
      </c>
      <c r="D22" s="13" t="n"/>
      <c r="E22" s="14" t="n">
        <v>14.5</v>
      </c>
      <c r="F22" s="13" t="n"/>
      <c r="G22" s="13" t="n"/>
      <c r="H22" s="14" t="n">
        <v>41.75</v>
      </c>
      <c r="I22" s="14" t="n">
        <v>44.5</v>
      </c>
      <c r="J22" s="13" t="n"/>
    </row>
    <row r="23">
      <c r="A23" s="13" t="inlineStr">
        <is>
          <t>20250220105</t>
        </is>
      </c>
      <c r="B23" s="13" t="inlineStr">
        <is>
          <t>物联网工程梁欣然</t>
        </is>
      </c>
      <c r="C23" s="14" t="n">
        <v>43.3</v>
      </c>
      <c r="D23" s="13" t="n"/>
      <c r="E23" s="14" t="n">
        <v>5</v>
      </c>
      <c r="F23" s="13" t="n"/>
      <c r="G23" s="13" t="n"/>
      <c r="H23" s="14" t="n">
        <v>31</v>
      </c>
      <c r="I23" s="14" t="n">
        <v>17.25</v>
      </c>
      <c r="J23" s="13" t="n"/>
    </row>
    <row r="24">
      <c r="A24" s="13" t="inlineStr">
        <is>
          <t>202502210128</t>
        </is>
      </c>
      <c r="B24" s="13" t="inlineStr">
        <is>
          <t>冯堃梅</t>
        </is>
      </c>
      <c r="C24" s="14" t="n">
        <v>87.75</v>
      </c>
      <c r="D24" s="14" t="n">
        <v>26</v>
      </c>
      <c r="E24" s="13" t="n"/>
      <c r="F24" s="14" t="n">
        <v>23</v>
      </c>
      <c r="G24" s="14" t="n">
        <v>7.75</v>
      </c>
      <c r="H24" s="13" t="n"/>
      <c r="I24" s="13" t="n"/>
      <c r="J24" s="14" t="n">
        <v>31</v>
      </c>
    </row>
    <row r="25">
      <c r="A25" s="13" t="n"/>
      <c r="B25" s="13" t="n"/>
      <c r="C25" s="14" t="n">
        <v>88.5</v>
      </c>
      <c r="D25" s="14" t="n">
        <v>26</v>
      </c>
      <c r="E25" s="13" t="n"/>
      <c r="F25" s="14" t="n">
        <v>22.5</v>
      </c>
      <c r="G25" s="14" t="n">
        <v>9.5</v>
      </c>
      <c r="H25" s="13" t="n"/>
      <c r="I25" s="13" t="n"/>
      <c r="J25" s="14" t="n">
        <v>30.5</v>
      </c>
    </row>
    <row r="26">
      <c r="A26" s="13" t="inlineStr">
        <is>
          <t>202302051618</t>
        </is>
      </c>
      <c r="B26" s="13" t="inlineStr">
        <is>
          <t>伍峙崧</t>
        </is>
      </c>
      <c r="C26" s="14" t="n">
        <v>20.73</v>
      </c>
      <c r="D26" s="13" t="n"/>
      <c r="E26" s="14" t="n">
        <v>0</v>
      </c>
      <c r="F26" s="13" t="n"/>
      <c r="G26" s="13" t="n"/>
      <c r="H26" s="14" t="n">
        <v>13</v>
      </c>
      <c r="I26" s="14" t="n">
        <v>12.5</v>
      </c>
      <c r="J26" s="13" t="n"/>
    </row>
    <row r="27">
      <c r="A27" s="13" t="n"/>
      <c r="B27" s="13" t="n"/>
      <c r="C27" s="13" t="n"/>
      <c r="D27" s="13" t="n"/>
      <c r="E27" s="13" t="n"/>
      <c r="F27" s="13" t="n"/>
      <c r="G27" s="13" t="n"/>
      <c r="H27" s="13" t="n"/>
      <c r="I27" s="13" t="n"/>
      <c r="J27" s="13" t="n"/>
    </row>
    <row r="28">
      <c r="A28" s="13" t="inlineStr">
        <is>
          <t>202502210192</t>
        </is>
      </c>
      <c r="B28" s="13" t="inlineStr">
        <is>
          <t>王敬丹</t>
        </is>
      </c>
      <c r="C28" s="14" t="n">
        <v>53.66</v>
      </c>
      <c r="D28" s="13" t="n"/>
      <c r="E28" s="14" t="n">
        <v>0</v>
      </c>
      <c r="F28" s="13" t="n"/>
      <c r="G28" s="13" t="n"/>
      <c r="H28" s="14" t="n">
        <v>37</v>
      </c>
      <c r="I28" s="14" t="n">
        <v>29</v>
      </c>
      <c r="J28" s="13" t="n"/>
    </row>
    <row r="29">
      <c r="A29" s="13" t="inlineStr">
        <is>
          <t>202502210171</t>
        </is>
      </c>
      <c r="B29" s="13" t="inlineStr">
        <is>
          <t>左松铭</t>
        </is>
      </c>
      <c r="C29" s="14" t="n">
        <v>23.98</v>
      </c>
      <c r="D29" s="13" t="n"/>
      <c r="E29" s="14" t="n">
        <v>0</v>
      </c>
      <c r="F29" s="13" t="n"/>
      <c r="G29" s="13" t="n"/>
      <c r="H29" s="14" t="n">
        <v>16</v>
      </c>
      <c r="I29" s="14" t="n">
        <v>13.5</v>
      </c>
      <c r="J29" s="13" t="n"/>
    </row>
    <row r="30">
      <c r="A30" s="13" t="n"/>
      <c r="B30" s="13" t="n"/>
      <c r="C30" s="13" t="n"/>
      <c r="D30" s="13" t="n"/>
      <c r="E30" s="13" t="n"/>
      <c r="F30" s="13" t="n"/>
      <c r="G30" s="13" t="n"/>
      <c r="H30" s="13" t="n"/>
      <c r="I30" s="13" t="n"/>
      <c r="J30" s="13" t="n"/>
    </row>
    <row r="31">
      <c r="A31" s="13" t="inlineStr">
        <is>
          <t>202502210180</t>
        </is>
      </c>
      <c r="B31" s="13" t="inlineStr">
        <is>
          <t>刘星宇</t>
        </is>
      </c>
      <c r="C31" s="14" t="n">
        <v>87.5</v>
      </c>
      <c r="D31" s="14" t="n">
        <v>25</v>
      </c>
      <c r="E31" s="13" t="n"/>
      <c r="F31" s="14" t="n">
        <v>22.5</v>
      </c>
      <c r="G31" s="14" t="n">
        <v>10</v>
      </c>
      <c r="H31" s="13" t="n"/>
      <c r="I31" s="13" t="n"/>
      <c r="J31" s="14" t="n">
        <v>30</v>
      </c>
    </row>
    <row r="32">
      <c r="A32" s="13" t="inlineStr">
        <is>
          <t>202502210155</t>
        </is>
      </c>
      <c r="B32" s="13" t="inlineStr">
        <is>
          <t>张景沅</t>
        </is>
      </c>
      <c r="C32" s="14" t="n">
        <v>14.23</v>
      </c>
      <c r="D32" s="13" t="n"/>
      <c r="E32" s="14" t="n">
        <v>0</v>
      </c>
      <c r="F32" s="13" t="n"/>
      <c r="G32" s="13" t="n"/>
      <c r="H32" s="14" t="n">
        <v>8</v>
      </c>
      <c r="I32" s="14" t="n">
        <v>9.5</v>
      </c>
      <c r="J32" s="13" t="n"/>
    </row>
    <row r="33">
      <c r="A33" s="13" t="inlineStr">
        <is>
          <t>202502210160</t>
        </is>
      </c>
      <c r="B33" s="13" t="inlineStr">
        <is>
          <t>谢烁宇</t>
        </is>
      </c>
      <c r="C33" s="14" t="n">
        <v>95.25</v>
      </c>
      <c r="D33" s="14" t="n">
        <v>29</v>
      </c>
      <c r="E33" s="13" t="n"/>
      <c r="F33" s="14" t="n">
        <v>23</v>
      </c>
      <c r="G33" s="14" t="n">
        <v>10</v>
      </c>
      <c r="H33" s="13" t="n"/>
      <c r="I33" s="13" t="n"/>
      <c r="J33" s="14" t="n">
        <v>33.25</v>
      </c>
    </row>
    <row r="34">
      <c r="A34" s="13" t="inlineStr">
        <is>
          <t>202502210109</t>
        </is>
      </c>
      <c r="B34" s="13" t="inlineStr">
        <is>
          <t>李昕锐</t>
        </is>
      </c>
      <c r="C34" s="14" t="n">
        <v>58</v>
      </c>
      <c r="D34" s="14" t="n">
        <v>19.5</v>
      </c>
      <c r="E34" s="13" t="n"/>
      <c r="F34" s="14" t="n">
        <v>12.5</v>
      </c>
      <c r="G34" s="14" t="n">
        <v>6</v>
      </c>
      <c r="H34" s="13" t="n"/>
      <c r="I34" s="13" t="n"/>
      <c r="J34" s="14" t="n">
        <v>20</v>
      </c>
    </row>
    <row r="35">
      <c r="A35" s="13" t="n"/>
      <c r="B35" s="13" t="n"/>
      <c r="C35" s="13" t="n"/>
      <c r="D35" s="13" t="n"/>
      <c r="E35" s="13" t="n"/>
      <c r="F35" s="13" t="n"/>
      <c r="G35" s="13" t="n"/>
      <c r="H35" s="13" t="n"/>
      <c r="I35" s="13" t="n"/>
      <c r="J35" s="13" t="n"/>
    </row>
    <row r="36">
      <c r="A36" s="13" t="n"/>
      <c r="B36" s="13" t="n"/>
      <c r="C36" s="13" t="n"/>
      <c r="D36" s="13" t="n"/>
      <c r="E36" s="13" t="n"/>
      <c r="F36" s="13" t="n"/>
      <c r="G36" s="13" t="n"/>
      <c r="H36" s="13" t="n"/>
      <c r="I36" s="13" t="n"/>
      <c r="J36" s="13" t="n"/>
    </row>
    <row r="37">
      <c r="A37" s="13" t="n"/>
      <c r="B37" s="13" t="n"/>
      <c r="C37" s="13" t="n"/>
      <c r="D37" s="13" t="n"/>
      <c r="E37" s="13" t="n"/>
      <c r="F37" s="13" t="n"/>
      <c r="G37" s="13" t="n"/>
      <c r="H37" s="13" t="n"/>
      <c r="I37" s="13" t="n"/>
      <c r="J37" s="13" t="n"/>
    </row>
    <row r="38">
      <c r="A38" s="13" t="inlineStr">
        <is>
          <t>202502210094</t>
        </is>
      </c>
      <c r="B38" s="13" t="inlineStr">
        <is>
          <t>李泽宇</t>
        </is>
      </c>
      <c r="C38" s="14" t="n">
        <v>65.5</v>
      </c>
      <c r="D38" s="14" t="n">
        <v>21</v>
      </c>
      <c r="E38" s="13" t="n"/>
      <c r="F38" s="14" t="n">
        <v>17.5</v>
      </c>
      <c r="G38" s="14" t="n">
        <v>6</v>
      </c>
      <c r="H38" s="13" t="n"/>
      <c r="I38" s="13" t="n"/>
      <c r="J38" s="14" t="n">
        <v>21</v>
      </c>
    </row>
    <row r="39">
      <c r="A39" s="13" t="n"/>
      <c r="B39" s="13" t="n"/>
      <c r="C39" s="13" t="n"/>
      <c r="D39" s="13" t="n"/>
      <c r="E39" s="13" t="n"/>
      <c r="F39" s="13" t="n"/>
      <c r="G39" s="13" t="n"/>
      <c r="H39" s="13" t="n"/>
      <c r="I39" s="13" t="n"/>
      <c r="J39" s="13" t="n"/>
    </row>
  </sheetData>
  <conditionalFormatting sqref="A2:J39">
    <cfRule type="expression" priority="1" dxfId="0">
      <formula>MOD(ROW(),2)=0</formula>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I279"/>
  <sheetViews>
    <sheetView showGridLines="0" zoomScale="110" workbookViewId="0">
      <pane ySplit="1" topLeftCell="A2" activePane="bottomLeft" state="frozen"/>
      <selection pane="bottomLeft" activeCell="A1" sqref="A1"/>
    </sheetView>
  </sheetViews>
  <sheetFormatPr baseColWidth="8" defaultRowHeight="15"/>
  <cols>
    <col width="17.6" customWidth="1" min="1" max="1"/>
    <col width="11.6" customWidth="1" min="2" max="2"/>
    <col width="17.6" customWidth="1" min="3" max="3"/>
    <col width="12.8" customWidth="1" min="4" max="4"/>
    <col width="10" customWidth="1" min="5" max="5"/>
    <col width="10" customWidth="1" min="6" max="6"/>
    <col width="10" customWidth="1" min="7" max="7"/>
    <col width="40" customWidth="1" min="8" max="8"/>
    <col width="30" customWidth="1" min="9" max="9"/>
  </cols>
  <sheetData>
    <row r="1" ht="24" customHeight="1">
      <c r="A1" s="12" t="inlineStr">
        <is>
          <t>学号</t>
        </is>
      </c>
      <c r="B1" s="12" t="inlineStr">
        <is>
          <t>姓名</t>
        </is>
      </c>
      <c r="C1" s="12" t="inlineStr">
        <is>
          <t>维度</t>
        </is>
      </c>
      <c r="D1" s="12" t="inlineStr">
        <is>
          <t>细则项</t>
        </is>
      </c>
      <c r="E1" s="12" t="inlineStr">
        <is>
          <t>该项总分</t>
        </is>
      </c>
      <c r="F1" s="12" t="inlineStr">
        <is>
          <t>得分</t>
        </is>
      </c>
      <c r="G1" s="12" t="inlineStr">
        <is>
          <t>扣分</t>
        </is>
      </c>
      <c r="H1" s="12" t="inlineStr">
        <is>
          <t>原因说明</t>
        </is>
      </c>
      <c r="I1" s="12" t="inlineStr">
        <is>
          <t>改进建议</t>
        </is>
      </c>
    </row>
    <row r="2">
      <c r="A2" s="13" t="inlineStr">
        <is>
          <t>202502210167</t>
        </is>
      </c>
      <c r="B2" s="13" t="inlineStr">
        <is>
          <t>李靖镖</t>
        </is>
      </c>
      <c r="C2" s="13" t="inlineStr">
        <is>
          <t>行业与专业匹配的宏观分析</t>
        </is>
      </c>
      <c r="D2" s="10" t="inlineStr">
        <is>
          <t>行业现状梳理</t>
        </is>
      </c>
      <c r="E2" s="14" t="n">
        <v>15</v>
      </c>
      <c r="F2" s="14" t="n">
        <v>14.5</v>
      </c>
      <c r="G2" s="14" t="n">
        <v>0.5</v>
      </c>
      <c r="H2" s="10" t="inlineStr">
        <is>
          <t>行业规模、主要赛道、核心玩家、痛点与机会均有详细说明，并引用了具体数据和政策，信息来源可信度高。扣0.5分，因部分数据（如全球市场规模）未明确标注具体来源报告或年份，严谨性略有不足。</t>
        </is>
      </c>
      <c r="I2" s="10" t="inlineStr"/>
    </row>
    <row r="3">
      <c r="A3" s="13" t="inlineStr">
        <is>
          <t>202502210167</t>
        </is>
      </c>
      <c r="B3" s="13" t="inlineStr">
        <is>
          <t>李靖镖</t>
        </is>
      </c>
      <c r="C3" s="13" t="inlineStr">
        <is>
          <t>行业与专业匹配的宏观分析</t>
        </is>
      </c>
      <c r="D3" s="10" t="inlineStr">
        <is>
          <t>行业趋势判断</t>
        </is>
      </c>
      <c r="E3" s="14" t="n">
        <v>20</v>
      </c>
      <c r="F3" s="14" t="n">
        <v>18</v>
      </c>
      <c r="G3" s="14" t="n">
        <v>2</v>
      </c>
      <c r="H3" s="10" t="inlineStr">
        <is>
          <t>从技术、市场、政策、人才等多角度分析了智联化、国产化、跨界融合等趋势，逻辑链条清晰，并引用了具体案例（如5G-A试点、国产化招聘）作为证据。扣2分，部分趋势（如“绿色低碳”）虽有提及但分析较浅，证据支撑相对薄弱；部分判断（如量子物联网成为技术突破点）的前瞻性论证稍显不足。</t>
        </is>
      </c>
      <c r="I3" s="10" t="inlineStr"/>
    </row>
    <row r="4">
      <c r="A4" s="13" t="inlineStr">
        <is>
          <t>202502210167</t>
        </is>
      </c>
      <c r="B4" s="13" t="inlineStr">
        <is>
          <t>李靖镖</t>
        </is>
      </c>
      <c r="C4" s="13" t="inlineStr">
        <is>
          <t>AI 对行业影响的辩证分析</t>
        </is>
      </c>
      <c r="D4" s="10" t="inlineStr">
        <is>
          <t>正面影响</t>
        </is>
      </c>
      <c r="E4" s="14" t="n">
        <v>15</v>
      </c>
      <c r="F4" s="14" t="n">
        <v>14</v>
      </c>
      <c r="G4" s="14" t="n">
        <v>1</v>
      </c>
      <c r="H4" s="10" t="inlineStr">
        <is>
          <t>从智能决策、设备协同、数据价值挖掘三个维度，结合工业、农业、交通等具体场景，清晰解释了AI如何提升效率、质量并创造新业务形态，价值量化（如降低停机率、提升产量）合理。扣1分，部分量化数据（如“协同效率提升60%”）未说明具体对比基准或来源，略显笼统。</t>
        </is>
      </c>
      <c r="I4" s="10" t="inlineStr"/>
    </row>
    <row r="5">
      <c r="A5" s="13" t="inlineStr">
        <is>
          <t>202502210167</t>
        </is>
      </c>
      <c r="B5" s="13" t="inlineStr">
        <is>
          <t>李靖镖</t>
        </is>
      </c>
      <c r="C5" s="13" t="inlineStr">
        <is>
          <t>AI 对行业影响的辩证分析</t>
        </is>
      </c>
      <c r="D5" s="10" t="inlineStr">
        <is>
          <t>负面影响与风险</t>
        </is>
      </c>
      <c r="E5" s="14" t="n">
        <v>15</v>
      </c>
      <c r="F5" s="14" t="n">
        <v>13</v>
      </c>
      <c r="G5" s="14" t="n">
        <v>2</v>
      </c>
      <c r="H5" s="10" t="inlineStr">
        <is>
          <t>讨论了行业分化、人才结构失衡、安全、成本、技术协同等风险，识别较为全面。扣2分，主要问题在于：1. 对岗位替代、伦理合规、偏见等风险的讨论相对简略；2. 提出的缓解建议（如应对安全风险、成本压力）较为宏观，缺乏具体、可操作的措施，深度不足。</t>
        </is>
      </c>
      <c r="I5" s="10" t="inlineStr"/>
    </row>
    <row r="6">
      <c r="A6" s="13" t="inlineStr">
        <is>
          <t>202502210167</t>
        </is>
      </c>
      <c r="B6" s="13" t="inlineStr">
        <is>
          <t>李靖镖</t>
        </is>
      </c>
      <c r="C6" s="13" t="inlineStr">
        <is>
          <t>岗位认知与个人职业定位</t>
        </is>
      </c>
      <c r="D6" s="10" t="inlineStr">
        <is>
          <t>岗位选择与职责理解</t>
        </is>
      </c>
      <c r="E6" s="14" t="n">
        <v>15</v>
      </c>
      <c r="F6" s="14" t="n">
        <v>13</v>
      </c>
      <c r="G6" s="14" t="n">
        <v>2</v>
      </c>
      <c r="H6" s="10" t="inlineStr">
        <is>
          <t>结合专业提出了四大类十余个具体岗位，对职责、技能要求、成长路径的描述非常详细且专业。扣2分，评分标准明确要求说明“自身匹配点”，但报告全文未涉及学生个人技能、兴趣与岗位的匹配分析，此部分内容缺失。</t>
        </is>
      </c>
      <c r="I6" s="10" t="inlineStr"/>
    </row>
    <row r="7">
      <c r="A7" s="13" t="inlineStr">
        <is>
          <t>202502210167</t>
        </is>
      </c>
      <c r="B7" s="13" t="inlineStr">
        <is>
          <t>李靖镖</t>
        </is>
      </c>
      <c r="C7" s="13" t="inlineStr">
        <is>
          <t>岗位认知与个人职业定位</t>
        </is>
      </c>
      <c r="D7" s="10" t="inlineStr">
        <is>
          <t>薪资与发展预期</t>
        </is>
      </c>
      <c r="E7" s="14" t="n">
        <v>10</v>
      </c>
      <c r="F7" s="14" t="n">
        <v>9</v>
      </c>
      <c r="G7" s="14" t="n">
        <v>1</v>
      </c>
      <c r="H7" s="10" t="inlineStr">
        <is>
          <t>薪资区间划分细致，合理结合了一线、二线城市及不同公司类型（如制造企业、公职单位）的差异，发展预期（如资深工程师薪资、项目提成）清晰。扣1分，部分岗位薪资数据（如公职类岗位）的跨度或具体构成可以更精确。</t>
        </is>
      </c>
      <c r="I7" s="10" t="inlineStr"/>
    </row>
    <row r="8">
      <c r="A8" s="13" t="inlineStr">
        <is>
          <t>202502210167</t>
        </is>
      </c>
      <c r="B8" s="13" t="inlineStr">
        <is>
          <t>李靖镖</t>
        </is>
      </c>
      <c r="C8" s="13" t="inlineStr">
        <is>
          <t>报告结构与表达规范</t>
        </is>
      </c>
      <c r="D8" s="10" t="inlineStr">
        <is>
          <t>结构完整性与论证</t>
        </is>
      </c>
      <c r="E8" s="14" t="n">
        <v>5</v>
      </c>
      <c r="F8" s="14" t="n">
        <v>5</v>
      </c>
      <c r="G8" s="14" t="n">
        <v>0</v>
      </c>
      <c r="H8" s="10" t="inlineStr">
        <is>
          <t>标题层级清晰，从专业认知、行业分析、AI影响到岗位调研，段落组织合理，论点、论据、结论形成有效闭环，论证充分。</t>
        </is>
      </c>
      <c r="I8" s="10" t="inlineStr"/>
    </row>
    <row r="9">
      <c r="A9" s="13" t="inlineStr">
        <is>
          <t>202502210167</t>
        </is>
      </c>
      <c r="B9" s="13" t="inlineStr">
        <is>
          <t>李靖镖</t>
        </is>
      </c>
      <c r="C9" s="13" t="inlineStr">
        <is>
          <t>报告结构与表达规范</t>
        </is>
      </c>
      <c r="D9" s="10" t="inlineStr">
        <is>
          <t>语言表达与格式</t>
        </is>
      </c>
      <c r="E9" s="14" t="n">
        <v>5</v>
      </c>
      <c r="F9" s="14" t="n">
        <v>5</v>
      </c>
      <c r="G9" s="14" t="n">
        <v>0</v>
      </c>
      <c r="H9" s="10" t="inlineStr">
        <is>
          <t>表述准确、流畅，专业术语使用恰当，报告格式规范，正文字数远超基本要求，无格式错误。</t>
        </is>
      </c>
      <c r="I9" s="10" t="inlineStr"/>
    </row>
    <row r="10">
      <c r="A10" s="13" t="inlineStr">
        <is>
          <t>202502210147</t>
        </is>
      </c>
      <c r="B10" s="13" t="inlineStr">
        <is>
          <t>汤智健</t>
        </is>
      </c>
      <c r="C10" s="13" t="inlineStr">
        <is>
          <t>行业与专业匹配的宏观分析</t>
        </is>
      </c>
      <c r="D10" s="10" t="inlineStr">
        <is>
          <t>行业现状梳理</t>
        </is>
      </c>
      <c r="E10" s="14" t="n">
        <v>15</v>
      </c>
      <c r="F10" s="14" t="n">
        <v>14</v>
      </c>
      <c r="G10" s="14" t="n">
        <v>1</v>
      </c>
      <c r="H10" s="10" t="inlineStr">
        <is>
          <t>行业规模、赛道、玩家、痛点与机会梳理全面，引用GSMA、IDC等权威数据，信息可信。但‘当前痛点与机会’的阐述相对宏观，可更具体。扣1分。</t>
        </is>
      </c>
      <c r="I10" s="10" t="inlineStr"/>
    </row>
    <row r="11">
      <c r="A11" s="13" t="inlineStr">
        <is>
          <t>202502210147</t>
        </is>
      </c>
      <c r="B11" s="13" t="inlineStr">
        <is>
          <t>汤智健</t>
        </is>
      </c>
      <c r="C11" s="13" t="inlineStr">
        <is>
          <t>行业与专业匹配的宏观分析</t>
        </is>
      </c>
      <c r="D11" s="10" t="inlineStr">
        <is>
          <t>行业趋势判断</t>
        </is>
      </c>
      <c r="E11" s="14" t="n">
        <v>20</v>
      </c>
      <c r="F11" s="14" t="n">
        <v>17</v>
      </c>
      <c r="G11" s="14" t="n">
        <v>3</v>
      </c>
      <c r="H11" s="10" t="inlineStr">
        <is>
          <t>从技术、市场、政策、资本等多角度分析未来趋势，内容详实。但部分趋势（如政策、人才角度）的分析相对薄弱，逻辑链条可更清晰。扣3分。</t>
        </is>
      </c>
      <c r="I11" s="10" t="inlineStr"/>
    </row>
    <row r="12">
      <c r="A12" s="13" t="inlineStr">
        <is>
          <t>202502210147</t>
        </is>
      </c>
      <c r="B12" s="13" t="inlineStr">
        <is>
          <t>汤智健</t>
        </is>
      </c>
      <c r="C12" s="13" t="inlineStr">
        <is>
          <t>AI 对行业影响的辩证分析</t>
        </is>
      </c>
      <c r="D12" s="10" t="inlineStr">
        <is>
          <t>正面影响</t>
        </is>
      </c>
      <c r="E12" s="14" t="n">
        <v>15</v>
      </c>
      <c r="F12" s="14" t="n">
        <v>14</v>
      </c>
      <c r="G12" s="14" t="n">
        <v>1</v>
      </c>
      <c r="H12" s="10" t="inlineStr">
        <is>
          <t>举出数据分析平台、开发框架、低代码平台等具体场景，详细解释了AI如何提升效率、降低门槛，并提供了开发周期缩短、成本降低等合理量化数据。扣1分。</t>
        </is>
      </c>
      <c r="I12" s="10" t="inlineStr"/>
    </row>
    <row r="13">
      <c r="A13" s="13" t="inlineStr">
        <is>
          <t>202502210147</t>
        </is>
      </c>
      <c r="B13" s="13" t="inlineStr">
        <is>
          <t>汤智健</t>
        </is>
      </c>
      <c r="C13" s="13" t="inlineStr">
        <is>
          <t>AI 对行业影响的辩证分析</t>
        </is>
      </c>
      <c r="D13" s="10" t="inlineStr">
        <is>
          <t>负面影响与风险</t>
        </is>
      </c>
      <c r="E13" s="14" t="n">
        <v>15</v>
      </c>
      <c r="F13" s="14" t="n">
        <v>14</v>
      </c>
      <c r="G13" s="14" t="n">
        <v>1</v>
      </c>
      <c r="H13" s="10" t="inlineStr">
        <is>
          <t>讨论了岗位替代、技术性失业风险，并提及了隐私、安全等伦理合规问题，同时给出了能力发展建议作为缓解措施。分析较为全面。扣1分。</t>
        </is>
      </c>
      <c r="I13" s="10" t="inlineStr"/>
    </row>
    <row r="14">
      <c r="A14" s="13" t="inlineStr">
        <is>
          <t>202502210147</t>
        </is>
      </c>
      <c r="B14" s="13" t="inlineStr">
        <is>
          <t>汤智健</t>
        </is>
      </c>
      <c r="C14" s="13" t="inlineStr">
        <is>
          <t>岗位认知与个人职业定位</t>
        </is>
      </c>
      <c r="D14" s="10" t="inlineStr">
        <is>
          <t>岗位选择与职责理解</t>
        </is>
      </c>
      <c r="E14" s="14" t="n">
        <v>15</v>
      </c>
      <c r="F14" s="14" t="n">
        <v>14</v>
      </c>
      <c r="G14" s="14" t="n">
        <v>1</v>
      </c>
      <c r="H14" s="10" t="inlineStr">
        <is>
          <t>结合物联网工程专业提出‘物联网解决方案架构师’岗位，详细说明了其核心职责、能力要求、成长路径，并与自身能力建设规划相匹配。分析深入。扣1分。</t>
        </is>
      </c>
      <c r="I14" s="10" t="inlineStr"/>
    </row>
    <row r="15">
      <c r="A15" s="13" t="inlineStr">
        <is>
          <t>202502210147</t>
        </is>
      </c>
      <c r="B15" s="13" t="inlineStr">
        <is>
          <t>汤智健</t>
        </is>
      </c>
      <c r="C15" s="13" t="inlineStr">
        <is>
          <t>岗位认知与个人职业定位</t>
        </is>
      </c>
      <c r="D15" s="10" t="inlineStr">
        <is>
          <t>薪资与发展预期</t>
        </is>
      </c>
      <c r="E15" s="14" t="n">
        <v>10</v>
      </c>
      <c r="F15" s="14" t="n">
        <v>9</v>
      </c>
      <c r="G15" s="14" t="n">
        <v>1</v>
      </c>
      <c r="H15" s="10" t="inlineStr">
        <is>
          <t>薪资区间引用招聘平台数据，合理区分了一线、二线城市及公司类型差异。发展预期与个人能力建设规划结合紧密。分析清晰。扣1分。</t>
        </is>
      </c>
      <c r="I15" s="10" t="inlineStr"/>
    </row>
    <row r="16">
      <c r="A16" s="13" t="inlineStr">
        <is>
          <t>202502210147</t>
        </is>
      </c>
      <c r="B16" s="13" t="inlineStr">
        <is>
          <t>汤智健</t>
        </is>
      </c>
      <c r="C16" s="13" t="inlineStr">
        <is>
          <t>报告结构与表达规范</t>
        </is>
      </c>
      <c r="D16" s="10" t="inlineStr">
        <is>
          <t>结构完整性与论证</t>
        </is>
      </c>
      <c r="E16" s="14" t="n">
        <v>5</v>
      </c>
      <c r="F16" s="14" t="n">
        <v>5</v>
      </c>
      <c r="G16" s="14" t="n">
        <v>0</v>
      </c>
      <c r="H16" s="10" t="inlineStr">
        <is>
          <t>标题层级清晰，目录完整，段落组织合理，从分析到结论逻辑闭环，论证充分。</t>
        </is>
      </c>
      <c r="I16" s="10" t="inlineStr"/>
    </row>
    <row r="17">
      <c r="A17" s="13" t="inlineStr">
        <is>
          <t>202502210147</t>
        </is>
      </c>
      <c r="B17" s="13" t="inlineStr">
        <is>
          <t>汤智健</t>
        </is>
      </c>
      <c r="C17" s="13" t="inlineStr">
        <is>
          <t>报告结构与表达规范</t>
        </is>
      </c>
      <c r="D17" s="10" t="inlineStr">
        <is>
          <t>语言表达与格式</t>
        </is>
      </c>
      <c r="E17" s="14" t="n">
        <v>5</v>
      </c>
      <c r="F17" s="14" t="n">
        <v>4</v>
      </c>
      <c r="G17" s="14" t="n">
        <v>1</v>
      </c>
      <c r="H17" s="10" t="inlineStr">
        <is>
          <t>表述准确流畅，术语使用恰当。但正文字数远超最低要求，且部分内容（如专业能力体系描述）略显冗长，可进一步精炼。扣1分。</t>
        </is>
      </c>
      <c r="I17" s="10" t="inlineStr"/>
    </row>
    <row r="18">
      <c r="A18" s="13" t="inlineStr">
        <is>
          <t>202502210088</t>
        </is>
      </c>
      <c r="B18" s="13" t="inlineStr">
        <is>
          <t>物联网工程</t>
        </is>
      </c>
      <c r="C18" s="13" t="inlineStr">
        <is>
          <t>行业与专业匹配的宏观分析</t>
        </is>
      </c>
      <c r="D18" s="10" t="inlineStr">
        <is>
          <t>行业现状梳理</t>
        </is>
      </c>
      <c r="E18" s="14" t="n">
        <v>15</v>
      </c>
      <c r="F18" s="14" t="n">
        <v>11</v>
      </c>
      <c r="G18" s="14" t="n">
        <v>4</v>
      </c>
      <c r="H18" s="10" t="inlineStr">
        <is>
          <t>扣4分。报告提供了市场规模、增长数据、细分领域和人才缺口等信息，信息来源可信。但未系统梳理行业主要赛道（仅列举细分领域机遇）、核心玩家/生态（仅分析三家企业，未描述其构成的生态关系），也未明确阐述行业当前普遍存在的痛点（如标准不统一、安全挑战等），分析不够全面。</t>
        </is>
      </c>
      <c r="I18" s="10" t="inlineStr"/>
    </row>
    <row r="19">
      <c r="A19" s="13" t="inlineStr">
        <is>
          <t>202502210088</t>
        </is>
      </c>
      <c r="B19" s="13" t="inlineStr">
        <is>
          <t>物联网工程</t>
        </is>
      </c>
      <c r="C19" s="13" t="inlineStr">
        <is>
          <t>行业与专业匹配的宏观分析</t>
        </is>
      </c>
      <c r="D19" s="10" t="inlineStr">
        <is>
          <t>行业趋势判断</t>
        </is>
      </c>
      <c r="E19" s="14" t="n">
        <v>20</v>
      </c>
      <c r="F19" s="14" t="n">
        <v>15</v>
      </c>
      <c r="G19" s="14" t="n">
        <v>5</v>
      </c>
      <c r="H19" s="10" t="inlineStr">
        <is>
          <t>扣5分。报告从技术（边缘计算、LPWAN）、市场（结构转型）、政策（新基建）、人才（缺口）等角度分析了趋势，逻辑框架清晰。但部分判断（如边缘计算市场规模年增35%）未提供具体证据来源，且对资本角度的趋势分析缺失，导致证据支撑链条不够完整。</t>
        </is>
      </c>
      <c r="I19" s="10" t="inlineStr"/>
    </row>
    <row r="20">
      <c r="A20" s="13" t="inlineStr">
        <is>
          <t>202502210088</t>
        </is>
      </c>
      <c r="B20" s="13" t="inlineStr">
        <is>
          <t>物联网工程</t>
        </is>
      </c>
      <c r="C20" s="13" t="inlineStr">
        <is>
          <t>AI 对行业影响的辩证分析</t>
        </is>
      </c>
      <c r="D20" s="10" t="inlineStr">
        <is>
          <t>正面影响</t>
        </is>
      </c>
      <c r="E20" s="14" t="n">
        <v>15</v>
      </c>
      <c r="F20" s="14" t="n">
        <v>13</v>
      </c>
      <c r="G20" s="14" t="n">
        <v>2</v>
      </c>
      <c r="H20" s="10" t="inlineStr">
        <is>
          <t>扣2分。报告列举了开发、运维、数据价值等具体场景，并合理量化了效率提升（周期缩短40%）、成本降低（50%）等价值，分析到位。但部分量化数据（如节省200万元）未明确说明是案例引用还是估算，严谨性可进一步提升。</t>
        </is>
      </c>
      <c r="I20" s="10" t="inlineStr"/>
    </row>
    <row r="21">
      <c r="A21" s="13" t="inlineStr">
        <is>
          <t>202502210088</t>
        </is>
      </c>
      <c r="B21" s="13" t="inlineStr">
        <is>
          <t>物联网工程</t>
        </is>
      </c>
      <c r="C21" s="13" t="inlineStr">
        <is>
          <t>AI 对行业影响的辩证分析</t>
        </is>
      </c>
      <c r="D21" s="10" t="inlineStr">
        <is>
          <t>负面影响与风险</t>
        </is>
      </c>
      <c r="E21" s="14" t="n">
        <v>15</v>
      </c>
      <c r="F21" s="14" t="n">
        <v>11</v>
      </c>
      <c r="G21" s="14" t="n">
        <v>4</v>
      </c>
      <c r="H21" s="10" t="inlineStr">
        <is>
          <t>扣4分。报告讨论了初级岗位替代风险，并进行了个人风险评估，识别了技术性失业问题。但对伦理合规、隐私、偏见、成本等其他风险的讨论基本缺失。提出的缓解建议（技术深耕、拥抱工具、强化实践）方向正确，但较为笼统，缺乏针对具体风险（如数据隐私保护）的可操作建议。</t>
        </is>
      </c>
      <c r="I21" s="10" t="inlineStr"/>
    </row>
    <row r="22">
      <c r="A22" s="13" t="inlineStr">
        <is>
          <t>202502210088</t>
        </is>
      </c>
      <c r="B22" s="13" t="inlineStr">
        <is>
          <t>物联网工程</t>
        </is>
      </c>
      <c r="C22" s="13" t="inlineStr">
        <is>
          <t>岗位认知与个人职业定位</t>
        </is>
      </c>
      <c r="D22" s="10" t="inlineStr">
        <is>
          <t>岗位选择与职责理解</t>
        </is>
      </c>
      <c r="E22" s="14" t="n">
        <v>15</v>
      </c>
      <c r="F22" s="14" t="n">
        <v>13</v>
      </c>
      <c r="G22" s="14" t="n">
        <v>2</v>
      </c>
      <c r="H22" s="10" t="inlineStr">
        <is>
          <t>扣2分。结合物联网工程专业提出了“工业物联网嵌入式开发工程师”岗位，并清晰说明了其四项核心职责、所需能力（C/C++、通信协议等）以及成长所需的协作能力。自身匹配点分析（已掌握技能、场景认知）具体合理。但对岗位的长期成长路径描述不够详细。</t>
        </is>
      </c>
      <c r="I22" s="10" t="inlineStr"/>
    </row>
    <row r="23">
      <c r="A23" s="13" t="inlineStr">
        <is>
          <t>202502210088</t>
        </is>
      </c>
      <c r="B23" s="13" t="inlineStr">
        <is>
          <t>物联网工程</t>
        </is>
      </c>
      <c r="C23" s="13" t="inlineStr">
        <is>
          <t>岗位认知与个人职业定位</t>
        </is>
      </c>
      <c r="D23" s="10" t="inlineStr">
        <is>
          <t>薪资与发展预期</t>
        </is>
      </c>
      <c r="E23" s="14" t="n">
        <v>10</v>
      </c>
      <c r="F23" s="14" t="n">
        <v>0</v>
      </c>
      <c r="G23" s="14" t="n">
        <v>10</v>
      </c>
      <c r="H23" s="10" t="inlineStr">
        <is>
          <t>扣10分。报告完全未涉及薪资区间分析，也未结合地域、公司类型、层级差异进行讨论，发展预期部分缺失。未满足该细则的任何要求。</t>
        </is>
      </c>
      <c r="I23" s="10" t="inlineStr"/>
    </row>
    <row r="24">
      <c r="A24" s="13" t="inlineStr">
        <is>
          <t>202502210088</t>
        </is>
      </c>
      <c r="B24" s="13" t="inlineStr">
        <is>
          <t>物联网工程</t>
        </is>
      </c>
      <c r="C24" s="13" t="inlineStr">
        <is>
          <t>报告结构与表达规范</t>
        </is>
      </c>
      <c r="D24" s="10" t="inlineStr">
        <is>
          <t>结构完整性与论证</t>
        </is>
      </c>
      <c r="E24" s="14" t="n">
        <v>5</v>
      </c>
      <c r="F24" s="14" t="n">
        <v>3</v>
      </c>
      <c r="G24" s="14" t="n">
        <v>2</v>
      </c>
      <c r="H24" s="10" t="inlineStr">
        <is>
          <t>扣2分。报告标题层级清晰，段落组织合理，论点（如AI的影响）有论据（如具体案例、数据）和结论支撑，形成基本闭环。但目录中“四、我的目标岗位与行动规划”下应有“4.2 行动规划”等内容，报告中缺失，导致结构不完整。</t>
        </is>
      </c>
      <c r="I24" s="10" t="inlineStr"/>
    </row>
    <row r="25">
      <c r="A25" s="13" t="inlineStr">
        <is>
          <t>202502210088</t>
        </is>
      </c>
      <c r="B25" s="13" t="inlineStr">
        <is>
          <t>物联网工程</t>
        </is>
      </c>
      <c r="C25" s="13" t="inlineStr">
        <is>
          <t>报告结构与表达规范</t>
        </is>
      </c>
      <c r="D25" s="10" t="inlineStr">
        <is>
          <t>语言表达与格式</t>
        </is>
      </c>
      <c r="E25" s="14" t="n">
        <v>5</v>
      </c>
      <c r="F25" s="14" t="n">
        <v>4</v>
      </c>
      <c r="G25" s="14" t="n">
        <v>1</v>
      </c>
      <c r="H25" s="10" t="inlineStr">
        <is>
          <t>扣1分。报告表述准确流畅，专业术语使用恰当。扣分原因：正文字数虽未明确要求，但相对于报告目录和结构的完整性要求，第四部分内容明显不足，影响了报告的完整性，据此扣分。</t>
        </is>
      </c>
      <c r="I25" s="10" t="inlineStr"/>
    </row>
    <row r="26">
      <c r="A26" s="13" t="inlineStr">
        <is>
          <t>202502210148</t>
        </is>
      </c>
      <c r="B26" s="13" t="inlineStr">
        <is>
          <t>罗洋</t>
        </is>
      </c>
      <c r="C26" s="13" t="inlineStr">
        <is>
          <t>职业缘起与认知</t>
        </is>
      </c>
      <c r="D26" s="10" t="inlineStr">
        <is>
          <t>职业缘起</t>
        </is>
      </c>
      <c r="E26" s="14" t="n">
        <v>31</v>
      </c>
      <c r="F26" s="14" t="n">
        <v>0</v>
      </c>
      <c r="G26" s="14" t="n">
        <v>31</v>
      </c>
      <c r="H26" s="10" t="inlineStr">
        <is>
          <t>未说明职业兴趣或目标的任何来源（如家庭、经历、榜样等），完全缺失个人化的叙述。</t>
        </is>
      </c>
      <c r="I26" s="10" t="inlineStr"/>
    </row>
    <row r="27">
      <c r="A27" s="13" t="inlineStr">
        <is>
          <t>202502210148</t>
        </is>
      </c>
      <c r="B27" s="13" t="inlineStr">
        <is>
          <t>罗洋</t>
        </is>
      </c>
      <c r="C27" s="13" t="inlineStr">
        <is>
          <t>职业缘起与认知</t>
        </is>
      </c>
      <c r="D27" s="10" t="inlineStr">
        <is>
          <t>自我特征</t>
        </is>
      </c>
      <c r="E27" s="14" t="n">
        <v>8</v>
      </c>
      <c r="F27" s="14" t="n">
        <v>0</v>
      </c>
      <c r="G27" s="14" t="n">
        <v>8</v>
      </c>
      <c r="H27" s="10" t="inlineStr">
        <is>
          <t>未提供任何个人简介、关键能力或性格特征描述，也未提及任何职业测试或评价，结论与目标的一致性无从谈起。</t>
        </is>
      </c>
      <c r="I27" s="10" t="inlineStr"/>
    </row>
    <row r="28">
      <c r="A28" s="13" t="inlineStr">
        <is>
          <t>202502210148</t>
        </is>
      </c>
      <c r="B28" s="13" t="inlineStr">
        <is>
          <t>罗洋</t>
        </is>
      </c>
      <c r="C28" s="13" t="inlineStr">
        <is>
          <t>职业缘起与认知</t>
        </is>
      </c>
      <c r="D28" s="10" t="inlineStr">
        <is>
          <t>行业认知</t>
        </is>
      </c>
      <c r="E28" s="14" t="n">
        <v>7</v>
      </c>
      <c r="F28" s="14" t="n">
        <v>3.5</v>
      </c>
      <c r="G28" s="14" t="n">
        <v>3.5</v>
      </c>
      <c r="H28" s="10" t="inlineStr">
        <is>
          <t>提供了部分行业数据、风口和典型企业，信息具有一定可靠性。但分析深度不足，未结合国家政策、深度研报或人物访谈进行系统阐述，信息较为零散。</t>
        </is>
      </c>
      <c r="I28" s="10" t="inlineStr"/>
    </row>
    <row r="29">
      <c r="A29" s="13" t="inlineStr">
        <is>
          <t>202502210148</t>
        </is>
      </c>
      <c r="B29" s="13" t="inlineStr">
        <is>
          <t>罗洋</t>
        </is>
      </c>
      <c r="C29" s="13" t="inlineStr">
        <is>
          <t>职业缘起与认知</t>
        </is>
      </c>
      <c r="D29" s="10" t="inlineStr">
        <is>
          <t>职业认知</t>
        </is>
      </c>
      <c r="E29" s="14" t="n">
        <v>7</v>
      </c>
      <c r="F29" s="14" t="n">
        <v>1</v>
      </c>
      <c r="G29" s="14" t="n">
        <v>6</v>
      </c>
      <c r="H29" s="10" t="inlineStr">
        <is>
          <t>仅提及目标岗位名称和薪资调研，未分析人才供需、岗位职责、招聘需求、职业素养等核心要素，也未体现对职业路径的理解，内容严重不足。</t>
        </is>
      </c>
      <c r="I29" s="10" t="inlineStr"/>
    </row>
    <row r="30">
      <c r="A30" s="13" t="inlineStr">
        <is>
          <t>202502210148</t>
        </is>
      </c>
      <c r="B30" s="13" t="inlineStr">
        <is>
          <t>罗洋</t>
        </is>
      </c>
      <c r="C30" s="13" t="inlineStr">
        <is>
          <t>职业目标与能力基础</t>
        </is>
      </c>
      <c r="D30" s="10" t="inlineStr">
        <is>
          <t>学校与专业背景</t>
        </is>
      </c>
      <c r="E30" s="14" t="n">
        <v>5</v>
      </c>
      <c r="F30" s="14" t="n">
        <v>1</v>
      </c>
      <c r="G30" s="14" t="n">
        <v>4</v>
      </c>
      <c r="H30" s="10" t="inlineStr">
        <is>
          <t>简要介绍了物联网专业的课程特点，但未明确说明自身所在学校及专业，也未阐述学校育人特色与职业目标的相关性。</t>
        </is>
      </c>
      <c r="I30" s="10" t="inlineStr"/>
    </row>
    <row r="31">
      <c r="A31" s="13" t="inlineStr">
        <is>
          <t>202502210148</t>
        </is>
      </c>
      <c r="B31" s="13" t="inlineStr">
        <is>
          <t>罗洋</t>
        </is>
      </c>
      <c r="C31" s="13" t="inlineStr">
        <is>
          <t>职业目标与能力基础</t>
        </is>
      </c>
      <c r="D31" s="10" t="inlineStr">
        <is>
          <t>专业能力</t>
        </is>
      </c>
      <c r="E31" s="14" t="n">
        <v>8</v>
      </c>
      <c r="F31" s="14" t="n">
        <v>0</v>
      </c>
      <c r="G31" s="14" t="n">
        <v>8</v>
      </c>
      <c r="H31" s="10" t="inlineStr">
        <is>
          <t>未列举任何个人成绩、科研成果、奖学金、证书或关键课程，完全未说明与目标岗位的匹配性。</t>
        </is>
      </c>
      <c r="I31" s="10" t="inlineStr"/>
    </row>
    <row r="32">
      <c r="A32" s="13" t="inlineStr">
        <is>
          <t>202502210148</t>
        </is>
      </c>
      <c r="B32" s="13" t="inlineStr">
        <is>
          <t>罗洋</t>
        </is>
      </c>
      <c r="C32" s="13" t="inlineStr">
        <is>
          <t>职业目标与能力基础</t>
        </is>
      </c>
      <c r="D32" s="10" t="inlineStr">
        <is>
          <t>综合能力</t>
        </is>
      </c>
      <c r="E32" s="14" t="n">
        <v>6</v>
      </c>
      <c r="F32" s="14" t="n">
        <v>0</v>
      </c>
      <c r="G32" s="14" t="n">
        <v>6</v>
      </c>
      <c r="H32" s="10" t="inlineStr">
        <is>
          <t>未提及任何竞赛、学生工作、任职经历，无法支撑职业发展。</t>
        </is>
      </c>
      <c r="I32" s="10" t="inlineStr"/>
    </row>
    <row r="33">
      <c r="A33" s="13" t="inlineStr">
        <is>
          <t>202502210148</t>
        </is>
      </c>
      <c r="B33" s="13" t="inlineStr">
        <is>
          <t>罗洋</t>
        </is>
      </c>
      <c r="C33" s="13" t="inlineStr">
        <is>
          <t>职业目标与能力基础</t>
        </is>
      </c>
      <c r="D33" s="10" t="inlineStr">
        <is>
          <t>实践能力</t>
        </is>
      </c>
      <c r="E33" s="14" t="n">
        <v>6</v>
      </c>
      <c r="F33" s="14" t="n">
        <v>0</v>
      </c>
      <c r="G33" s="14" t="n">
        <v>6</v>
      </c>
      <c r="H33" s="10" t="inlineStr">
        <is>
          <t>未提及任何校园活动、社会实践或实习经历，未形成可迁移的能力与成果描述。</t>
        </is>
      </c>
      <c r="I33" s="10" t="inlineStr"/>
    </row>
    <row r="34">
      <c r="A34" s="13" t="inlineStr">
        <is>
          <t>202502210148</t>
        </is>
      </c>
      <c r="B34" s="13" t="inlineStr">
        <is>
          <t>罗洋</t>
        </is>
      </c>
      <c r="C34" s="13" t="inlineStr">
        <is>
          <t>职业目标与能力基础</t>
        </is>
      </c>
      <c r="D34" s="10" t="inlineStr">
        <is>
          <t>短板提升计划</t>
        </is>
      </c>
      <c r="E34" s="14" t="n">
        <v>10</v>
      </c>
      <c r="F34" s="14" t="n">
        <v>0</v>
      </c>
      <c r="G34" s="14" t="n">
        <v>10</v>
      </c>
      <c r="H34" s="10" t="inlineStr">
        <is>
          <t>未识别任何个人关键短板，也未提出任何明确的提升目标与可落地的对策。</t>
        </is>
      </c>
      <c r="I34" s="10" t="inlineStr"/>
    </row>
    <row r="35">
      <c r="A35" s="13" t="inlineStr">
        <is>
          <t>202502210148</t>
        </is>
      </c>
      <c r="B35" s="13" t="inlineStr">
        <is>
          <t>罗洋</t>
        </is>
      </c>
      <c r="C35" s="13" t="inlineStr">
        <is>
          <t>职业目标与能力基础</t>
        </is>
      </c>
      <c r="D35" s="10" t="inlineStr">
        <is>
          <t>成长路径</t>
        </is>
      </c>
      <c r="E35" s="14" t="n">
        <v>15</v>
      </c>
      <c r="F35" s="14" t="n">
        <v>0</v>
      </c>
      <c r="G35" s="14" t="n">
        <v>15</v>
      </c>
      <c r="H35" s="10" t="inlineStr">
        <is>
          <t>未给出任何短期、中期、长期的阶段目标与里程碑，逻辑连贯性与可执行性无从评估。</t>
        </is>
      </c>
      <c r="I35" s="10" t="inlineStr"/>
    </row>
    <row r="36">
      <c r="A36" s="13" t="inlineStr">
        <is>
          <t>202502210148</t>
        </is>
      </c>
      <c r="B36" s="13" t="inlineStr">
        <is>
          <t>罗洋</t>
        </is>
      </c>
      <c r="C36" s="13" t="inlineStr">
        <is>
          <t>动态调整与风险应对</t>
        </is>
      </c>
      <c r="D36" s="10" t="inlineStr">
        <is>
          <t>风险评估与应对策略</t>
        </is>
      </c>
      <c r="E36" s="14" t="n">
        <v>20</v>
      </c>
      <c r="F36" s="14" t="n">
        <v>0</v>
      </c>
      <c r="G36" s="14" t="n">
        <v>20</v>
      </c>
      <c r="H36" s="10" t="inlineStr">
        <is>
          <t>完全未识别职业路径中的主要风险，未给出评估周期、应对策略或备选职业方案，未体现规划的弹性与前瞻性。</t>
        </is>
      </c>
      <c r="I36" s="10" t="inlineStr"/>
    </row>
    <row r="37">
      <c r="A37" s="13" t="inlineStr">
        <is>
          <t>202502210096</t>
        </is>
      </c>
      <c r="B37" s="13" t="inlineStr">
        <is>
          <t>刘锐杨</t>
        </is>
      </c>
      <c r="C37" s="13" t="inlineStr">
        <is>
          <t>行业与专业匹配的宏观分析</t>
        </is>
      </c>
      <c r="D37" s="10" t="inlineStr">
        <is>
          <t>行业现状梳理</t>
        </is>
      </c>
      <c r="E37" s="14" t="n">
        <v>15</v>
      </c>
      <c r="F37" s="14" t="n">
        <v>11</v>
      </c>
      <c r="G37" s="14" t="n">
        <v>4</v>
      </c>
      <c r="H37" s="10" t="inlineStr">
        <is>
          <t>作业提供了行业规模、主要赛道、核心玩家等关键信息，数据来源可信。但未明确阐述行业当前存在的具体痛点与机会，仅在第一部分专业初印象中略有提及，不符合细则要求，扣4分。</t>
        </is>
      </c>
      <c r="I37" s="10" t="inlineStr"/>
    </row>
    <row r="38">
      <c r="A38" s="13" t="inlineStr">
        <is>
          <t>202502210096</t>
        </is>
      </c>
      <c r="B38" s="13" t="inlineStr">
        <is>
          <t>刘锐杨</t>
        </is>
      </c>
      <c r="C38" s="13" t="inlineStr">
        <is>
          <t>行业与专业匹配的宏观分析</t>
        </is>
      </c>
      <c r="D38" s="10" t="inlineStr">
        <is>
          <t>行业趋势判断</t>
        </is>
      </c>
      <c r="E38" s="14" t="n">
        <v>20</v>
      </c>
      <c r="F38" s="14" t="n">
        <v>15</v>
      </c>
      <c r="G38" s="14" t="n">
        <v>5</v>
      </c>
      <c r="H38" s="10" t="inlineStr">
        <is>
          <t>从技术、市场等角度分析了AIoT、全域覆盖等多个趋势，内容较为丰富。但部分趋势（如智能体互联网、通感算控一体化）的分析停留在概念或产业动态描述，缺乏更深入的逻辑推演和证据支撑，论证深度不足，扣5分。</t>
        </is>
      </c>
      <c r="I38" s="10" t="inlineStr"/>
    </row>
    <row r="39">
      <c r="A39" s="13" t="inlineStr">
        <is>
          <t>202502210096</t>
        </is>
      </c>
      <c r="B39" s="13" t="inlineStr">
        <is>
          <t>刘锐杨</t>
        </is>
      </c>
      <c r="C39" s="13" t="inlineStr">
        <is>
          <t>AI 对行业影响的辩证分析</t>
        </is>
      </c>
      <c r="D39" s="10" t="inlineStr">
        <is>
          <t>正面影响</t>
        </is>
      </c>
      <c r="E39" s="14" t="n">
        <v>15</v>
      </c>
      <c r="F39" s="14" t="n">
        <v>11</v>
      </c>
      <c r="G39" s="14" t="n">
        <v>4</v>
      </c>
      <c r="H39" s="10" t="inlineStr">
        <is>
          <t>列举了平台开发、设备运维等多个具体应用场景，并指出AI驱动产业增长的核心价值。但未对“提升效率/质量/体验/新业务形态”进行具体解释，也缺乏对价值的合理量化（如效率提升百分比、成本节约等），扣4分。</t>
        </is>
      </c>
      <c r="I39" s="10" t="inlineStr"/>
    </row>
    <row r="40">
      <c r="A40" s="13" t="inlineStr">
        <is>
          <t>202502210096</t>
        </is>
      </c>
      <c r="B40" s="13" t="inlineStr">
        <is>
          <t>刘锐杨</t>
        </is>
      </c>
      <c r="C40" s="13" t="inlineStr">
        <is>
          <t>AI 对行业影响的辩证分析</t>
        </is>
      </c>
      <c r="D40" s="10" t="inlineStr">
        <is>
          <t>负面影响与风险</t>
        </is>
      </c>
      <c r="E40" s="14" t="n">
        <v>15</v>
      </c>
      <c r="F40" s="14" t="n">
        <v>10</v>
      </c>
      <c r="G40" s="14" t="n">
        <v>5</v>
      </c>
      <c r="H40" s="10" t="inlineStr">
        <is>
          <t>在“负面挑战与危机”部分提及了需要建立跨域复合、安全可信等能力，隐含了对岗位替代、安全等风险的讨论。但未明确、系统地讨论伦理合规、隐私、偏见、成本等具体风险，也未提出任何针对性的缓解建议，内容严重不足，扣5分。</t>
        </is>
      </c>
      <c r="I40" s="10" t="inlineStr"/>
    </row>
    <row r="41">
      <c r="A41" s="13" t="inlineStr">
        <is>
          <t>202502210096</t>
        </is>
      </c>
      <c r="B41" s="13" t="inlineStr">
        <is>
          <t>刘锐杨</t>
        </is>
      </c>
      <c r="C41" s="13" t="inlineStr">
        <is>
          <t>岗位认知与个人职业定位</t>
        </is>
      </c>
      <c r="D41" s="10" t="inlineStr">
        <is>
          <t>岗位选择与职责理解</t>
        </is>
      </c>
      <c r="E41" s="14" t="n">
        <v>15</v>
      </c>
      <c r="F41" s="14" t="n">
        <v>8</v>
      </c>
      <c r="G41" s="14" t="n">
        <v>7</v>
      </c>
      <c r="H41" s="10" t="inlineStr">
        <is>
          <t>提出了“项目全生命周期规划”等岗位描述，但此描述过于通用，未结合物联网工程专业提出具体可从事的岗位（如嵌入式开发工程师、物联网解决方案工程师等），也未说明该岗位在物联网领域的具体职责、能力要求、成长路径，以及与自身（如兴趣点、知识短板）的匹配点分析，扣7分。</t>
        </is>
      </c>
      <c r="I41" s="10" t="inlineStr"/>
    </row>
    <row r="42">
      <c r="A42" s="13" t="inlineStr">
        <is>
          <t>202502210096</t>
        </is>
      </c>
      <c r="B42" s="13" t="inlineStr">
        <is>
          <t>刘锐杨</t>
        </is>
      </c>
      <c r="C42" s="13" t="inlineStr">
        <is>
          <t>岗位认知与个人职业定位</t>
        </is>
      </c>
      <c r="D42" s="10" t="inlineStr">
        <is>
          <t>薪资与发展预期</t>
        </is>
      </c>
      <c r="E42" s="14" t="n">
        <v>10</v>
      </c>
      <c r="F42" s="14" t="n">
        <v>0</v>
      </c>
      <c r="G42" s="14" t="n">
        <v>10</v>
      </c>
      <c r="H42" s="10" t="inlineStr">
        <is>
          <t>作业中“薪资水平调研（截图证明）”部分为空，未提供任何薪资区间数据，也未结合地域、公司类型、层级进行差异分析，发展预期完全缺失。未达到评分细则的任何要求，扣10分。</t>
        </is>
      </c>
      <c r="I42" s="10" t="inlineStr"/>
    </row>
    <row r="43">
      <c r="A43" s="13" t="inlineStr">
        <is>
          <t>202502210096</t>
        </is>
      </c>
      <c r="B43" s="13" t="inlineStr">
        <is>
          <t>刘锐杨</t>
        </is>
      </c>
      <c r="C43" s="13" t="inlineStr">
        <is>
          <t>报告结构与表达规范</t>
        </is>
      </c>
      <c r="D43" s="10" t="inlineStr">
        <is>
          <t>结构完整性与论证</t>
        </is>
      </c>
      <c r="E43" s="14" t="n">
        <v>5</v>
      </c>
      <c r="F43" s="14" t="n">
        <v>3</v>
      </c>
      <c r="G43" s="14" t="n">
        <v>2</v>
      </c>
      <c r="H43" s="10" t="inlineStr">
        <is>
          <t>报告采用结构化大纲，标题层级清晰。但多个部分（如第三、四部分）内容简略或缺失，导致论点（如AI影响、个人定位）缺乏充分论据支撑，结论部分与前面章节的论证关联性弱，未能形成有效闭环，扣2分。</t>
        </is>
      </c>
      <c r="I43" s="10" t="inlineStr"/>
    </row>
    <row r="44">
      <c r="A44" s="13" t="inlineStr">
        <is>
          <t>202502210096</t>
        </is>
      </c>
      <c r="B44" s="13" t="inlineStr">
        <is>
          <t>刘锐杨</t>
        </is>
      </c>
      <c r="C44" s="13" t="inlineStr">
        <is>
          <t>报告结构与表达规范</t>
        </is>
      </c>
      <c r="D44" s="10" t="inlineStr">
        <is>
          <t>语言表达与格式</t>
        </is>
      </c>
      <c r="E44" s="14" t="n">
        <v>5</v>
      </c>
      <c r="F44" s="14" t="n">
        <v>2</v>
      </c>
      <c r="G44" s="14" t="n">
        <v>3</v>
      </c>
      <c r="H44" s="10" t="inlineStr">
        <is>
          <t>表述基本准确流畅，术语使用恰当。但作业以大纲要点形式呈现，正文字数严重不足，未能展开为完整的分析报告，不符合常规报告写作规范，扣3分。</t>
        </is>
      </c>
      <c r="I44" s="10" t="inlineStr"/>
    </row>
    <row r="45">
      <c r="A45" s="13" t="inlineStr">
        <is>
          <t>202502210184</t>
        </is>
      </c>
      <c r="B45" s="13" t="inlineStr">
        <is>
          <t>莫曜鸿</t>
        </is>
      </c>
      <c r="C45" s="13" t="inlineStr">
        <is>
          <t>职业缘起与认知</t>
        </is>
      </c>
      <c r="D45" s="10" t="inlineStr">
        <is>
          <t>职业缘起</t>
        </is>
      </c>
      <c r="E45" s="14" t="n">
        <v>31</v>
      </c>
      <c r="F45" s="14" t="n">
        <v>15</v>
      </c>
      <c r="G45" s="14" t="n">
        <v>16</v>
      </c>
      <c r="H45" s="10" t="inlineStr">
        <is>
          <t>扣16分。作业仅提及‘对软件开发方向有兴趣’，但未具体说明此兴趣的来源，如家庭环境、重大事件、过往经历或榜样力量等。叙述缺乏真实、具体的个人故事或事件支撑，职业缘起部分内容单薄。</t>
        </is>
      </c>
      <c r="I45" s="10" t="inlineStr"/>
    </row>
    <row r="46">
      <c r="A46" s="13" t="inlineStr">
        <is>
          <t>202502210184</t>
        </is>
      </c>
      <c r="B46" s="13" t="inlineStr">
        <is>
          <t>莫曜鸿</t>
        </is>
      </c>
      <c r="C46" s="13" t="inlineStr">
        <is>
          <t>职业缘起与认知</t>
        </is>
      </c>
      <c r="D46" s="10" t="inlineStr">
        <is>
          <t>自我特征</t>
        </is>
      </c>
      <c r="E46" s="14" t="n">
        <v>8</v>
      </c>
      <c r="F46" s="14" t="n">
        <v>4</v>
      </c>
      <c r="G46" s="14" t="n">
        <v>4</v>
      </c>
      <c r="H46" s="10" t="inlineStr">
        <is>
          <t>扣4分。作业简要提及‘优势为动手能力，短板为行业认知以及逻辑能力’，但未提供个人简介，也未结合任何职业测试或360°评价来系统阐述关键能力与性格特征。自我分析较为笼统，与后续目标的关联性论证不足。</t>
        </is>
      </c>
      <c r="I46" s="10" t="inlineStr"/>
    </row>
    <row r="47">
      <c r="A47" s="13" t="inlineStr">
        <is>
          <t>202502210184</t>
        </is>
      </c>
      <c r="B47" s="13" t="inlineStr">
        <is>
          <t>莫曜鸿</t>
        </is>
      </c>
      <c r="C47" s="13" t="inlineStr">
        <is>
          <t>职业缘起与认知</t>
        </is>
      </c>
      <c r="D47" s="10" t="inlineStr">
        <is>
          <t>行业认知</t>
        </is>
      </c>
      <c r="E47" s="14" t="n">
        <v>7</v>
      </c>
      <c r="F47" s="14" t="n">
        <v>3</v>
      </c>
      <c r="G47" s="14" t="n">
        <v>4</v>
      </c>
      <c r="H47" s="10" t="inlineStr">
        <is>
          <t>扣4分。作业对行业现状（三大特征）和趋势（如AIoT）有提及，但分析较浅。信息主要基于个人观察，未引用国家政策、行业研报、人物访谈等可靠来源进行佐证，分析深度不足，缺乏数据或案例支撑。</t>
        </is>
      </c>
      <c r="I47" s="10" t="inlineStr"/>
    </row>
    <row r="48">
      <c r="A48" s="13" t="inlineStr">
        <is>
          <t>202502210184</t>
        </is>
      </c>
      <c r="B48" s="13" t="inlineStr">
        <is>
          <t>莫曜鸿</t>
        </is>
      </c>
      <c r="C48" s="13" t="inlineStr">
        <is>
          <t>职业缘起与认知</t>
        </is>
      </c>
      <c r="D48" s="10" t="inlineStr">
        <is>
          <t>职业认知</t>
        </is>
      </c>
      <c r="E48" s="14" t="n">
        <v>7</v>
      </c>
      <c r="F48" s="14" t="n">
        <v>3</v>
      </c>
      <c r="G48" s="14" t="n">
        <v>4</v>
      </c>
      <c r="H48" s="10" t="inlineStr">
        <is>
          <t>扣4分。作业提到了‘高技术人才需求’、‘复合型人才稀缺’，但未具体分析目标职业（如嵌入式开发、解决方案架构师）的人才供需、具体岗位职责、招聘需求（如技能要求）及所需职业素养。对职业路径的理解仅停留在职位名称的转换上，缺乏深入剖析。</t>
        </is>
      </c>
      <c r="I48" s="10" t="inlineStr"/>
    </row>
    <row r="49">
      <c r="A49" s="13" t="inlineStr">
        <is>
          <t>202502210184</t>
        </is>
      </c>
      <c r="B49" s="13" t="inlineStr">
        <is>
          <t>莫曜鸿</t>
        </is>
      </c>
      <c r="C49" s="13" t="inlineStr">
        <is>
          <t>职业目标与能力基础</t>
        </is>
      </c>
      <c r="D49" s="10" t="inlineStr">
        <is>
          <t>学校与专业背景</t>
        </is>
      </c>
      <c r="E49" s="14" t="n">
        <v>5</v>
      </c>
      <c r="F49" s="14" t="n">
        <v>4</v>
      </c>
      <c r="G49" s="14" t="n">
        <v>1</v>
      </c>
      <c r="H49" s="10" t="inlineStr">
        <is>
          <t>扣1分。作业提及‘物联网工程专业’及‘学校鸿蒙特色课程’，与职业目标（嵌入式开发、解决方案架构师）相关。介绍基本准确，但未对学校育人特色进行更具体的阐述。</t>
        </is>
      </c>
      <c r="I49" s="10" t="inlineStr"/>
    </row>
    <row r="50">
      <c r="A50" s="13" t="inlineStr">
        <is>
          <t>202502210184</t>
        </is>
      </c>
      <c r="B50" s="13" t="inlineStr">
        <is>
          <t>莫曜鸿</t>
        </is>
      </c>
      <c r="C50" s="13" t="inlineStr">
        <is>
          <t>职业目标与能力基础</t>
        </is>
      </c>
      <c r="D50" s="10" t="inlineStr">
        <is>
          <t>专业能力</t>
        </is>
      </c>
      <c r="E50" s="14" t="n">
        <v>8</v>
      </c>
      <c r="F50" s="14" t="n">
        <v>5</v>
      </c>
      <c r="G50" s="14" t="n">
        <v>3</v>
      </c>
      <c r="H50" s="10" t="inlineStr">
        <is>
          <t>扣3分。作业列举了计划考取的证书（计算机二级、HCIA）和学习的课程，但未提供现有成绩、科研成果、奖学金等具体成果来证明当前专业能力。对未来能力的规划较多，但对现有能力与目标岗位匹配性的说明不足。</t>
        </is>
      </c>
      <c r="I50" s="10" t="inlineStr"/>
    </row>
    <row r="51">
      <c r="A51" s="13" t="inlineStr">
        <is>
          <t>202502210184</t>
        </is>
      </c>
      <c r="B51" s="13" t="inlineStr">
        <is>
          <t>莫曜鸿</t>
        </is>
      </c>
      <c r="C51" s="13" t="inlineStr">
        <is>
          <t>职业目标与能力基础</t>
        </is>
      </c>
      <c r="D51" s="10" t="inlineStr">
        <is>
          <t>综合能力</t>
        </is>
      </c>
      <c r="E51" s="14" t="n">
        <v>6</v>
      </c>
      <c r="F51" s="14" t="n">
        <v>4</v>
      </c>
      <c r="G51" s="14" t="n">
        <v>2</v>
      </c>
      <c r="H51" s="10" t="inlineStr">
        <is>
          <t>扣2分。作业计划参与竞赛、项目开发以培养协作和沟通能力，但未列举已有的学生工作、任职经历等综合能力证明。现有综合能力对职业发展的支撑论证稍显不足。</t>
        </is>
      </c>
      <c r="I51" s="10" t="inlineStr"/>
    </row>
    <row r="52">
      <c r="A52" s="13" t="inlineStr">
        <is>
          <t>202502210184</t>
        </is>
      </c>
      <c r="B52" s="13" t="inlineStr">
        <is>
          <t>莫曜鸿</t>
        </is>
      </c>
      <c r="C52" s="13" t="inlineStr">
        <is>
          <t>职业目标与能力基础</t>
        </is>
      </c>
      <c r="D52" s="10" t="inlineStr">
        <is>
          <t>实践能力</t>
        </is>
      </c>
      <c r="E52" s="14" t="n">
        <v>6</v>
      </c>
      <c r="F52" s="14" t="n">
        <v>4</v>
      </c>
      <c r="G52" s="14" t="n">
        <v>2</v>
      </c>
      <c r="H52" s="10" t="inlineStr">
        <is>
          <t>扣2分。作业规划了丰富的实践活动（实验室、竞赛、实习），并预期形成具体成果（GitHub项目、竞赛经历）。但未详细阐述过往校园活动或社会实践已形成的可迁移能力与成果，更多是未来计划。</t>
        </is>
      </c>
      <c r="I52" s="10" t="inlineStr"/>
    </row>
    <row r="53">
      <c r="A53" s="13" t="inlineStr">
        <is>
          <t>202502210184</t>
        </is>
      </c>
      <c r="B53" s="13" t="inlineStr">
        <is>
          <t>莫曜鸿</t>
        </is>
      </c>
      <c r="C53" s="13" t="inlineStr">
        <is>
          <t>职业目标与能力基础</t>
        </is>
      </c>
      <c r="D53" s="10" t="inlineStr">
        <is>
          <t>短板提升计划</t>
        </is>
      </c>
      <c r="E53" s="14" t="n">
        <v>10</v>
      </c>
      <c r="F53" s="14" t="n">
        <v>7</v>
      </c>
      <c r="G53" s="14" t="n">
        <v>3</v>
      </c>
      <c r="H53" s="10" t="inlineStr">
        <is>
          <t>扣3分。识别了‘行业认知’和‘逻辑能力’为短板，并提出了‘加强数理思维和逻辑能力提高’、‘课程拓展’等提升目标。但对策不够具体和可落地，例如未说明通过何种具体方法（如特定课程、练习、项目）来提升逻辑能力，计划略显笼统。</t>
        </is>
      </c>
      <c r="I53" s="10" t="inlineStr"/>
    </row>
    <row r="54">
      <c r="A54" s="13" t="inlineStr">
        <is>
          <t>202502210184</t>
        </is>
      </c>
      <c r="B54" s="13" t="inlineStr">
        <is>
          <t>莫曜鸿</t>
        </is>
      </c>
      <c r="C54" s="13" t="inlineStr">
        <is>
          <t>职业目标与能力基础</t>
        </is>
      </c>
      <c r="D54" s="10" t="inlineStr">
        <is>
          <t>成长路径</t>
        </is>
      </c>
      <c r="E54" s="14" t="n">
        <v>15</v>
      </c>
      <c r="F54" s="14" t="n">
        <v>12</v>
      </c>
      <c r="G54" s="14" t="n">
        <v>3</v>
      </c>
      <c r="H54" s="10" t="inlineStr">
        <is>
          <t>扣3分。短期（大学四年）、中期（毕业5年）、长期（毕业3年后）阶段目标与里程碑设置清晰，逻辑基本连贯。短期计划非常具体，但中长期目标（如晋升架构师）的实现路径和关键里程碑可进一步细化，以增强可执行性。</t>
        </is>
      </c>
      <c r="I54" s="10" t="inlineStr"/>
    </row>
    <row r="55">
      <c r="A55" s="13" t="inlineStr">
        <is>
          <t>202502210184</t>
        </is>
      </c>
      <c r="B55" s="13" t="inlineStr">
        <is>
          <t>莫曜鸿</t>
        </is>
      </c>
      <c r="C55" s="13" t="inlineStr">
        <is>
          <t>动态调整与风险应对</t>
        </is>
      </c>
      <c r="D55" s="10" t="inlineStr">
        <is>
          <t>风险评估与应对策略</t>
        </is>
      </c>
      <c r="E55" s="14" t="n">
        <v>20</v>
      </c>
      <c r="F55" s="14" t="n">
        <v>16</v>
      </c>
      <c r="G55" s="14" t="n">
        <v>4</v>
      </c>
      <c r="H55" s="10" t="inlineStr">
        <is>
          <t>扣4分。识别了‘工业物联网竞争加剧’、‘AIoT成主流’、‘硬件兴趣下降’等风险，并给出了转向智能家居、学习AI、转软件开发等备选方案，体现了弹性。但风险评估（如发生概率、影响程度）未明确，应对策略多为方向性描述，缺乏更具体的行动计划（如时间节点、资源投入）。评估周期（‘每季度’、‘每年’）有提及，但未与具体风险挂钩进行周期性评估设计。</t>
        </is>
      </c>
      <c r="I55" s="10" t="inlineStr"/>
    </row>
    <row r="56">
      <c r="A56" s="13" t="inlineStr">
        <is>
          <t>202502210150</t>
        </is>
      </c>
      <c r="B56" s="13" t="inlineStr">
        <is>
          <t>杨天</t>
        </is>
      </c>
      <c r="C56" s="13" t="inlineStr">
        <is>
          <t>职业缘起与认知</t>
        </is>
      </c>
      <c r="D56" s="10" t="inlineStr">
        <is>
          <t>职业缘起</t>
        </is>
      </c>
      <c r="E56" s="14" t="n">
        <v>31</v>
      </c>
      <c r="F56" s="14" t="n">
        <v>0</v>
      </c>
      <c r="G56" s="14" t="n">
        <v>31</v>
      </c>
      <c r="H56" s="10" t="inlineStr">
        <is>
          <t>作业中完全未说明职业兴趣或目标的来源，如家庭环境、重大事件、过往经历、榜样力量等。此项内容缺失，扣31分。</t>
        </is>
      </c>
      <c r="I56" s="10" t="inlineStr"/>
    </row>
    <row r="57">
      <c r="A57" s="13" t="inlineStr">
        <is>
          <t>202502210150</t>
        </is>
      </c>
      <c r="B57" s="13" t="inlineStr">
        <is>
          <t>杨天</t>
        </is>
      </c>
      <c r="C57" s="13" t="inlineStr">
        <is>
          <t>职业缘起与认知</t>
        </is>
      </c>
      <c r="D57" s="10" t="inlineStr">
        <is>
          <t>自我特征</t>
        </is>
      </c>
      <c r="E57" s="14" t="n">
        <v>8</v>
      </c>
      <c r="F57" s="14" t="n">
        <v>4</v>
      </c>
      <c r="G57" s="14" t="n">
        <v>4</v>
      </c>
      <c r="H57" s="10" t="inlineStr">
        <is>
          <t>作业在“个人背景分析”中给出了个人技能储备和兴趣方向，可视为简介与关键能力。但未结合任何职业测试或360°评价，且未明确阐述这些特征如何与后续职业目标（如架构师、产品总监）形成逻辑一致性。分析较为笼统，扣4分。</t>
        </is>
      </c>
      <c r="I57" s="10" t="inlineStr"/>
    </row>
    <row r="58">
      <c r="A58" s="13" t="inlineStr">
        <is>
          <t>202502210150</t>
        </is>
      </c>
      <c r="B58" s="13" t="inlineStr">
        <is>
          <t>杨天</t>
        </is>
      </c>
      <c r="C58" s="13" t="inlineStr">
        <is>
          <t>职业缘起与认知</t>
        </is>
      </c>
      <c r="D58" s="10" t="inlineStr">
        <is>
          <t>行业认知</t>
        </is>
      </c>
      <c r="E58" s="14" t="n">
        <v>7</v>
      </c>
      <c r="F58" s="14" t="n">
        <v>2</v>
      </c>
      <c r="G58" s="14" t="n">
        <v>5</v>
      </c>
      <c r="H58" s="10" t="inlineStr">
        <is>
          <t>作业仅在“兴趣方向”和“行动计划”中提及了工业物联网、智慧城市等行业领域名称，以及在风险应对中提及“跟踪行业报告”。但未基于国家政策、行业研报、人物访谈等对目标行业的现状、发展趋势进行任何具体分析。信息不可靠，分析缺乏深度，扣5分。</t>
        </is>
      </c>
      <c r="I58" s="10" t="inlineStr"/>
    </row>
    <row r="59">
      <c r="A59" s="13" t="inlineStr">
        <is>
          <t>202502210150</t>
        </is>
      </c>
      <c r="B59" s="13" t="inlineStr">
        <is>
          <t>杨天</t>
        </is>
      </c>
      <c r="C59" s="13" t="inlineStr">
        <is>
          <t>职业缘起与认知</t>
        </is>
      </c>
      <c r="D59" s="10" t="inlineStr">
        <is>
          <t>职业认知</t>
        </is>
      </c>
      <c r="E59" s="14" t="n">
        <v>7</v>
      </c>
      <c r="F59" s="14" t="n">
        <v>2</v>
      </c>
      <c r="G59" s="14" t="n">
        <v>5</v>
      </c>
      <c r="H59" s="10" t="inlineStr">
        <is>
          <t>作业在“职业目标定位”和“发展路径设计”中列举了不同阶段的岗位名称及核心任务，部分体现了对岗位职责和职业路径的理解。但未对目标职业的人才供需、具体招聘需求、所需职业素养等进行分析，认知较为笼统。扣5分。</t>
        </is>
      </c>
      <c r="I59" s="10" t="inlineStr"/>
    </row>
    <row r="60">
      <c r="A60" s="13" t="inlineStr">
        <is>
          <t>202502210150</t>
        </is>
      </c>
      <c r="B60" s="13" t="inlineStr">
        <is>
          <t>杨天</t>
        </is>
      </c>
      <c r="C60" s="13" t="inlineStr">
        <is>
          <t>职业目标与能力基础</t>
        </is>
      </c>
      <c r="D60" s="10" t="inlineStr">
        <is>
          <t>学校与专业背景</t>
        </is>
      </c>
      <c r="E60" s="14" t="n">
        <v>5</v>
      </c>
      <c r="F60" s="14" t="n">
        <v>5</v>
      </c>
      <c r="G60" s="14" t="n">
        <v>0</v>
      </c>
      <c r="H60" s="10" t="inlineStr">
        <is>
          <t>作业开篇即明确专业为“物联网工程”，并列举了涵盖的核心领域，与后续物联网相关的职业目标高度相关。介绍准确且相关，得满分。</t>
        </is>
      </c>
      <c r="I60" s="10" t="inlineStr"/>
    </row>
    <row r="61">
      <c r="A61" s="13" t="inlineStr">
        <is>
          <t>202502210150</t>
        </is>
      </c>
      <c r="B61" s="13" t="inlineStr">
        <is>
          <t>杨天</t>
        </is>
      </c>
      <c r="C61" s="13" t="inlineStr">
        <is>
          <t>职业目标与能力基础</t>
        </is>
      </c>
      <c r="D61" s="10" t="inlineStr">
        <is>
          <t>专业能力</t>
        </is>
      </c>
      <c r="E61" s="14" t="n">
        <v>8</v>
      </c>
      <c r="F61" s="14" t="n">
        <v>7</v>
      </c>
      <c r="G61" s="14" t="n">
        <v>1</v>
      </c>
      <c r="H61" s="10" t="inlineStr">
        <is>
          <t>作业在“个人背景分析”中详细列举了硬件层、网络层、平台层、应用层的技能储备，并在“行动计划”中提及课程强化与高分目标。这些内容与目标岗位（如嵌入式工程师、系统工程师）的匹配性阐述清晰。但未提及具体的成绩、科研成果、奖学金或证书等量化证明，扣1分。</t>
        </is>
      </c>
      <c r="I61" s="10" t="inlineStr"/>
    </row>
    <row r="62">
      <c r="A62" s="13" t="inlineStr">
        <is>
          <t>202502210150</t>
        </is>
      </c>
      <c r="B62" s="13" t="inlineStr">
        <is>
          <t>杨天</t>
        </is>
      </c>
      <c r="C62" s="13" t="inlineStr">
        <is>
          <t>职业目标与能力基础</t>
        </is>
      </c>
      <c r="D62" s="10" t="inlineStr">
        <is>
          <t>综合能力</t>
        </is>
      </c>
      <c r="E62" s="14" t="n">
        <v>6</v>
      </c>
      <c r="F62" s="14" t="n">
        <v>4</v>
      </c>
      <c r="G62" s="14" t="n">
        <v>2</v>
      </c>
      <c r="H62" s="10" t="inlineStr">
        <is>
          <t>作业在“行动计划”中提及参与竞赛、项目实践，隐含了相关经历。但未明确列举具体的竞赛、学生工作或任职经历，也未直接阐述这些经历如何支撑职业发展。支撑性论证不足，扣2分。</t>
        </is>
      </c>
      <c r="I62" s="10" t="inlineStr"/>
    </row>
    <row r="63">
      <c r="A63" s="13" t="inlineStr">
        <is>
          <t>202502210150</t>
        </is>
      </c>
      <c r="B63" s="13" t="inlineStr">
        <is>
          <t>杨天</t>
        </is>
      </c>
      <c r="C63" s="13" t="inlineStr">
        <is>
          <t>职业目标与能力基础</t>
        </is>
      </c>
      <c r="D63" s="10" t="inlineStr">
        <is>
          <t>实践能力</t>
        </is>
      </c>
      <c r="E63" s="14" t="n">
        <v>6</v>
      </c>
      <c r="F63" s="14" t="n">
        <v>5</v>
      </c>
      <c r="G63" s="14" t="n">
        <v>1</v>
      </c>
      <c r="H63" s="10" t="inlineStr">
        <is>
          <t>作业在“行动计划”中明确规划了参与科研项目、竞赛、自主开发小型项目、申请实习等，并说明了预期形成的技能（如全栈演示能力）。体现了通过校园活动与社会实践形成可迁移能力与成果的意图，规划具体。但尚未有已实现的成果描述，扣1分。</t>
        </is>
      </c>
      <c r="I63" s="10" t="inlineStr"/>
    </row>
    <row r="64">
      <c r="A64" s="13" t="inlineStr">
        <is>
          <t>202502210150</t>
        </is>
      </c>
      <c r="B64" s="13" t="inlineStr">
        <is>
          <t>杨天</t>
        </is>
      </c>
      <c r="C64" s="13" t="inlineStr">
        <is>
          <t>职业目标与能力基础</t>
        </is>
      </c>
      <c r="D64" s="10" t="inlineStr">
        <is>
          <t>短板提升计划</t>
        </is>
      </c>
      <c r="E64" s="14" t="n">
        <v>10</v>
      </c>
      <c r="F64" s="14" t="n">
        <v>0</v>
      </c>
      <c r="G64" s="14" t="n">
        <v>10</v>
      </c>
      <c r="H64" s="10" t="inlineStr">
        <is>
          <t>作业中完全未识别任何个人关键短板，也未提出任何针对性的提升目标与可落地的对策。此项内容完全缺失，扣10分。</t>
        </is>
      </c>
      <c r="I64" s="10" t="inlineStr"/>
    </row>
    <row r="65">
      <c r="A65" s="13" t="inlineStr">
        <is>
          <t>202502210150</t>
        </is>
      </c>
      <c r="B65" s="13" t="inlineStr">
        <is>
          <t>杨天</t>
        </is>
      </c>
      <c r="C65" s="13" t="inlineStr">
        <is>
          <t>职业目标与能力基础</t>
        </is>
      </c>
      <c r="D65" s="10" t="inlineStr">
        <is>
          <t>成长路径</t>
        </is>
      </c>
      <c r="E65" s="14" t="n">
        <v>15</v>
      </c>
      <c r="F65" s="14" t="n">
        <v>13</v>
      </c>
      <c r="G65" s="14" t="n">
        <v>2</v>
      </c>
      <c r="H65" s="10" t="inlineStr">
        <is>
          <t>作业在“职业目标定位”和“发展路径设计”中，清晰划分了短期（1-3年）、中期（3-5年）、长期（5年以上）的阶段目标、岗位和核心任务，并设计了技术、应用两条路径。逻辑连贯，可执行性较强。但部分里程碑（如“参与标准制定”）略显宏大，具体实现步骤可进一步细化，扣2分。</t>
        </is>
      </c>
      <c r="I65" s="10" t="inlineStr"/>
    </row>
    <row r="66">
      <c r="A66" s="13" t="inlineStr">
        <is>
          <t>202502210150</t>
        </is>
      </c>
      <c r="B66" s="13" t="inlineStr">
        <is>
          <t>杨天</t>
        </is>
      </c>
      <c r="C66" s="13" t="inlineStr">
        <is>
          <t>动态调整与风险应对</t>
        </is>
      </c>
      <c r="D66" s="10" t="inlineStr">
        <is>
          <t>风险评估与应对策略</t>
        </is>
      </c>
      <c r="E66" s="14" t="n">
        <v>20</v>
      </c>
      <c r="F66" s="14" t="n">
        <v>5</v>
      </c>
      <c r="G66" s="14" t="n">
        <v>15</v>
      </c>
      <c r="H66" s="10" t="inlineStr">
        <is>
          <t>作业仅识别了“技术更新快，知识易过时”这一项风险，并给出了“定期跟踪行业报告、参与技术讲座、订阅权威媒体”的应对措施。但未给出风险评估周期，应对策略单一，完全未提及任何备选职业方案。内容严重不完整，缺乏系统性和前瞻性，扣15分。</t>
        </is>
      </c>
      <c r="I66" s="10" t="inlineStr"/>
    </row>
    <row r="67">
      <c r="A67" s="13" t="inlineStr">
        <is>
          <t>202502210127</t>
        </is>
      </c>
      <c r="B67" s="13" t="inlineStr">
        <is>
          <t>何荣林</t>
        </is>
      </c>
      <c r="C67" s="13" t="inlineStr">
        <is>
          <t>职业缘起与认知</t>
        </is>
      </c>
      <c r="D67" s="10" t="inlineStr">
        <is>
          <t>职业缘起</t>
        </is>
      </c>
      <c r="E67" s="14" t="n">
        <v>31</v>
      </c>
      <c r="F67" s="14" t="n">
        <v>0</v>
      </c>
      <c r="G67" s="14" t="n">
        <v>31</v>
      </c>
      <c r="H67" s="10" t="inlineStr">
        <is>
          <t>未说明职业兴趣或目标的任何具体来源，如家庭环境、重大事件、过往经历或榜样力量。作业中仅以“【例如：...】”模板形式呈现，未进行任何真实具体的叙述。依据评分标准，此项不得分。</t>
        </is>
      </c>
      <c r="I67" s="10" t="inlineStr"/>
    </row>
    <row r="68">
      <c r="A68" s="13" t="inlineStr">
        <is>
          <t>202502210127</t>
        </is>
      </c>
      <c r="B68" s="13" t="inlineStr">
        <is>
          <t>何荣林</t>
        </is>
      </c>
      <c r="C68" s="13" t="inlineStr">
        <is>
          <t>职业缘起与认知</t>
        </is>
      </c>
      <c r="D68" s="10" t="inlineStr">
        <is>
          <t>自我特征</t>
        </is>
      </c>
      <c r="E68" s="14" t="n">
        <v>8</v>
      </c>
      <c r="F68" s="14" t="n">
        <v>2</v>
      </c>
      <c r="G68" s="14" t="n">
        <v>6</v>
      </c>
      <c r="H68" s="10" t="inlineStr">
        <is>
          <t>提供了个人简介与能力/性格特征的描述框架，但内容均为待填充的通用模板（如“我对【例如：...】领域特别感兴趣”），未结合任何真实的职业测试、360°评价或具体事例。结论与后续目标的一致性无法基于空泛内容进行有效判断。扣6分。</t>
        </is>
      </c>
      <c r="I68" s="10" t="inlineStr"/>
    </row>
    <row r="69">
      <c r="A69" s="13" t="inlineStr">
        <is>
          <t>202502210127</t>
        </is>
      </c>
      <c r="B69" s="13" t="inlineStr">
        <is>
          <t>何荣林</t>
        </is>
      </c>
      <c r="C69" s="13" t="inlineStr">
        <is>
          <t>职业缘起与认知</t>
        </is>
      </c>
      <c r="D69" s="10" t="inlineStr">
        <is>
          <t>行业认知</t>
        </is>
      </c>
      <c r="E69" s="14" t="n">
        <v>7</v>
      </c>
      <c r="F69" s="14" t="n">
        <v>3</v>
      </c>
      <c r="G69" s="14" t="n">
        <v>4</v>
      </c>
      <c r="H69" s="10" t="inlineStr">
        <is>
          <t>对物联网行业应用领域和未来趋势进行了宏观列举，信息基本可靠。但分析缺乏深度，未基于国家政策、行业研报、人物访谈等具体资料展开，也未对现状进行深入剖析。扣4分。</t>
        </is>
      </c>
      <c r="I69" s="10" t="inlineStr"/>
    </row>
    <row r="70">
      <c r="A70" s="13" t="inlineStr">
        <is>
          <t>202502210127</t>
        </is>
      </c>
      <c r="B70" s="13" t="inlineStr">
        <is>
          <t>何荣林</t>
        </is>
      </c>
      <c r="C70" s="13" t="inlineStr">
        <is>
          <t>职业缘起与认知</t>
        </is>
      </c>
      <c r="D70" s="10" t="inlineStr">
        <is>
          <t>职业认知</t>
        </is>
      </c>
      <c r="E70" s="14" t="n">
        <v>7</v>
      </c>
      <c r="F70" s="14" t="n">
        <v>3</v>
      </c>
      <c r="G70" s="14" t="n">
        <v>4</v>
      </c>
      <c r="H70" s="10" t="inlineStr">
        <is>
          <t>列举了不同阶段的职业目标岗位，并隐含了对岗位职责的理解。但未对目标职业的人才供需、具体招聘需求、职业素养等进行独立、明确的分析，对职业路径的理解也主要体现为目标罗列，缺乏分析过程。扣4分。</t>
        </is>
      </c>
      <c r="I70" s="10" t="inlineStr"/>
    </row>
    <row r="71">
      <c r="A71" s="13" t="inlineStr">
        <is>
          <t>202502210127</t>
        </is>
      </c>
      <c r="B71" s="13" t="inlineStr">
        <is>
          <t>何荣林</t>
        </is>
      </c>
      <c r="C71" s="13" t="inlineStr">
        <is>
          <t>职业目标与能力基础</t>
        </is>
      </c>
      <c r="D71" s="10" t="inlineStr">
        <is>
          <t>学校与专业背景</t>
        </is>
      </c>
      <c r="E71" s="14" t="n">
        <v>5</v>
      </c>
      <c r="F71" s="14" t="n">
        <v>4</v>
      </c>
      <c r="G71" s="14" t="n">
        <v>1</v>
      </c>
      <c r="H71" s="10" t="inlineStr">
        <is>
          <t>对物联网工程专业的介绍准确，并与职业目标高度相关。但未提及所在学校的育人特色及其与职业目标的关联。扣1分。</t>
        </is>
      </c>
      <c r="I71" s="10" t="inlineStr"/>
    </row>
    <row r="72">
      <c r="A72" s="13" t="inlineStr">
        <is>
          <t>202502210127</t>
        </is>
      </c>
      <c r="B72" s="13" t="inlineStr">
        <is>
          <t>何荣林</t>
        </is>
      </c>
      <c r="C72" s="13" t="inlineStr">
        <is>
          <t>职业目标与能力基础</t>
        </is>
      </c>
      <c r="D72" s="10" t="inlineStr">
        <is>
          <t>专业能力</t>
        </is>
      </c>
      <c r="E72" s="14" t="n">
        <v>8</v>
      </c>
      <c r="F72" s="14" t="n">
        <v>0</v>
      </c>
      <c r="G72" s="14" t="n">
        <v>8</v>
      </c>
      <c r="H72" s="10" t="inlineStr">
        <is>
          <t>未列举任何具体的个人成绩、科研成果、奖学金、证书或关键课程，仅以“【例如：...】”模板示意，无法评估与目标岗位的匹配性。依据评分标准，此项不得分。</t>
        </is>
      </c>
      <c r="I72" s="10" t="inlineStr"/>
    </row>
    <row r="73">
      <c r="A73" s="13" t="inlineStr">
        <is>
          <t>202502210127</t>
        </is>
      </c>
      <c r="B73" s="13" t="inlineStr">
        <is>
          <t>何荣林</t>
        </is>
      </c>
      <c r="C73" s="13" t="inlineStr">
        <is>
          <t>职业目标与能力基础</t>
        </is>
      </c>
      <c r="D73" s="10" t="inlineStr">
        <is>
          <t>综合能力</t>
        </is>
      </c>
      <c r="E73" s="14" t="n">
        <v>6</v>
      </c>
      <c r="F73" s="14" t="n">
        <v>0</v>
      </c>
      <c r="G73" s="14" t="n">
        <v>6</v>
      </c>
      <c r="H73" s="10" t="inlineStr">
        <is>
          <t>未提及任何具体的竞赛、学生工作或任职经历，仅以“积极参加‘互联网+’、‘挑战杯’等赛事”作为未来计划，未提供已获得的支撑职业发展的综合能力证明。依据评分标准，此项不得分。</t>
        </is>
      </c>
      <c r="I73" s="10" t="inlineStr"/>
    </row>
    <row r="74">
      <c r="A74" s="13" t="inlineStr">
        <is>
          <t>202502210127</t>
        </is>
      </c>
      <c r="B74" s="13" t="inlineStr">
        <is>
          <t>何荣林</t>
        </is>
      </c>
      <c r="C74" s="13" t="inlineStr">
        <is>
          <t>职业目标与能力基础</t>
        </is>
      </c>
      <c r="D74" s="10" t="inlineStr">
        <is>
          <t>实践能力</t>
        </is>
      </c>
      <c r="E74" s="14" t="n">
        <v>6</v>
      </c>
      <c r="F74" s="14" t="n">
        <v>1</v>
      </c>
      <c r="G74" s="14" t="n">
        <v>5</v>
      </c>
      <c r="H74" s="10" t="inlineStr">
        <is>
          <t>提出了参与实验室项目、开源项目和自制项目的计划，但未提供任何已完成的校园活动、社会实践或实习经历，也未说明已形成的可迁移能力与成果。计划不能替代已有实践。扣5分。</t>
        </is>
      </c>
      <c r="I74" s="10" t="inlineStr"/>
    </row>
    <row r="75">
      <c r="A75" s="13" t="inlineStr">
        <is>
          <t>202502210127</t>
        </is>
      </c>
      <c r="B75" s="13" t="inlineStr">
        <is>
          <t>何荣林</t>
        </is>
      </c>
      <c r="C75" s="13" t="inlineStr">
        <is>
          <t>职业目标与能力基础</t>
        </is>
      </c>
      <c r="D75" s="10" t="inlineStr">
        <is>
          <t>短板提升计划</t>
        </is>
      </c>
      <c r="E75" s="14" t="n">
        <v>10</v>
      </c>
      <c r="F75" s="14" t="n">
        <v>3</v>
      </c>
      <c r="G75" s="14" t="n">
        <v>7</v>
      </c>
      <c r="H75" s="10" t="inlineStr">
        <is>
          <t>在“风险评估与调整”部分隐含了对技术迭代、行业波动等外部风险的应对，但未明确识别个人在知识、技能、性格等方面的关键短板，也未提出针对个人短板的明确提升目标与可落地的具体对策。扣7分。</t>
        </is>
      </c>
      <c r="I75" s="10" t="inlineStr"/>
    </row>
    <row r="76">
      <c r="A76" s="13" t="inlineStr">
        <is>
          <t>202502210127</t>
        </is>
      </c>
      <c r="B76" s="13" t="inlineStr">
        <is>
          <t>何荣林</t>
        </is>
      </c>
      <c r="C76" s="13" t="inlineStr">
        <is>
          <t>职业目标与能力基础</t>
        </is>
      </c>
      <c r="D76" s="10" t="inlineStr">
        <is>
          <t>成长路径</t>
        </is>
      </c>
      <c r="E76" s="14" t="n">
        <v>15</v>
      </c>
      <c r="F76" s="14" t="n">
        <v>12</v>
      </c>
      <c r="G76" s="14" t="n">
        <v>3</v>
      </c>
      <c r="H76" s="10" t="inlineStr">
        <is>
          <t>短期、中期、长期目标设定清晰，阶段划分合理，逻辑连贯，且包含技能、证书、项目、职位等具体里程碑，具有较强的可执行性。扣3分。</t>
        </is>
      </c>
      <c r="I76" s="10" t="inlineStr"/>
    </row>
    <row r="77">
      <c r="A77" s="13" t="inlineStr">
        <is>
          <t>202502210127</t>
        </is>
      </c>
      <c r="B77" s="13" t="inlineStr">
        <is>
          <t>何荣林</t>
        </is>
      </c>
      <c r="C77" s="13" t="inlineStr">
        <is>
          <t>动态调整与风险应对</t>
        </is>
      </c>
      <c r="D77" s="10" t="inlineStr">
        <is>
          <t>风险评估与应对策略</t>
        </is>
      </c>
      <c r="E77" s="14" t="n">
        <v>20</v>
      </c>
      <c r="F77" s="14" t="n">
        <v>12</v>
      </c>
      <c r="G77" s="14" t="n">
        <v>8</v>
      </c>
      <c r="H77" s="10" t="inlineStr">
        <is>
          <t>风险识别较为全面，应对策略具备一定合理性，并提出了在物联网框架内动态调整的备选思路，体现了职业规划的前瞻性与弹性。但未明确风险评估的具体周期，应对策略较为笼统，备选职业方案不够具体。扣8分。</t>
        </is>
      </c>
      <c r="I77" s="10" t="inlineStr"/>
    </row>
    <row r="78">
      <c r="A78" s="13" t="inlineStr">
        <is>
          <t>202502210204</t>
        </is>
      </c>
      <c r="B78" s="13" t="inlineStr">
        <is>
          <t>物联网工程何颂平</t>
        </is>
      </c>
      <c r="C78" s="13" t="inlineStr">
        <is>
          <t>职业缘起与认知</t>
        </is>
      </c>
      <c r="D78" s="10" t="inlineStr">
        <is>
          <t>职业缘起</t>
        </is>
      </c>
      <c r="E78" s="14" t="n">
        <v>31</v>
      </c>
      <c r="F78" s="14" t="n">
        <v>20</v>
      </c>
      <c r="G78" s="14" t="n">
        <v>11</v>
      </c>
      <c r="H78" s="10" t="inlineStr">
        <is>
          <t>扣11分。报告主要通过霍兰德、MBTI等职业测评结果来间接说明职业兴趣，但未能清晰、具体地阐述职业兴趣或目标的直接来源，如家庭环境、重大事件、过往关键经历或榜样影响等个人化、故事性的叙述。内容偏向于能力与兴趣的匹配分析，而非缘起的追溯。</t>
        </is>
      </c>
      <c r="I78" s="10" t="inlineStr"/>
    </row>
    <row r="79">
      <c r="A79" s="13" t="inlineStr">
        <is>
          <t>202502210204</t>
        </is>
      </c>
      <c r="B79" s="13" t="inlineStr">
        <is>
          <t>物联网工程何颂平</t>
        </is>
      </c>
      <c r="C79" s="13" t="inlineStr">
        <is>
          <t>职业缘起与认知</t>
        </is>
      </c>
      <c r="D79" s="10" t="inlineStr">
        <is>
          <t>自我特征</t>
        </is>
      </c>
      <c r="E79" s="14" t="n">
        <v>8</v>
      </c>
      <c r="F79" s="14" t="n">
        <v>7.5</v>
      </c>
      <c r="G79" s="14" t="n">
        <v>0.5</v>
      </c>
      <c r="H79" s="10" t="inlineStr">
        <is>
          <t>扣0.5分。个人简介与能力特征分析较为全面，结合了职业测评与自我评估，结论（软硬兼施的系统整合者）与后续的“智能物联网系统架构师”目标基本一致。但自我评估部分（如软技能）的结论与后续目标岗位要求（如跨团队协作）的匹配论证可更紧密。</t>
        </is>
      </c>
      <c r="I79" s="10" t="inlineStr"/>
    </row>
    <row r="80">
      <c r="A80" s="13" t="inlineStr">
        <is>
          <t>202502210204</t>
        </is>
      </c>
      <c r="B80" s="13" t="inlineStr">
        <is>
          <t>物联网工程何颂平</t>
        </is>
      </c>
      <c r="C80" s="13" t="inlineStr">
        <is>
          <t>职业缘起与认知</t>
        </is>
      </c>
      <c r="D80" s="10" t="inlineStr">
        <is>
          <t>行业认知</t>
        </is>
      </c>
      <c r="E80" s="14" t="n">
        <v>7</v>
      </c>
      <c r="F80" s="14" t="n">
        <v>6</v>
      </c>
      <c r="G80" s="14" t="n">
        <v>1</v>
      </c>
      <c r="H80" s="10" t="inlineStr">
        <is>
          <t>扣1分。运用了PEST模型对行业趋势进行了分析，信息具有一定可靠性。但分析深度有待加强，例如对“技术趋势”的列举多于深入分析，缺乏对具体政策文件、行业研报或人物访谈等一手资料的引用和解读，使得分析略显泛化。</t>
        </is>
      </c>
      <c r="I80" s="10" t="inlineStr"/>
    </row>
    <row r="81">
      <c r="A81" s="13" t="inlineStr">
        <is>
          <t>202502210204</t>
        </is>
      </c>
      <c r="B81" s="13" t="inlineStr">
        <is>
          <t>物联网工程何颂平</t>
        </is>
      </c>
      <c r="C81" s="13" t="inlineStr">
        <is>
          <t>职业缘起与认知</t>
        </is>
      </c>
      <c r="D81" s="10" t="inlineStr">
        <is>
          <t>职业认知</t>
        </is>
      </c>
      <c r="E81" s="14" t="n">
        <v>7</v>
      </c>
      <c r="F81" s="14" t="n">
        <v>6.5</v>
      </c>
      <c r="G81" s="14" t="n">
        <v>0.5</v>
      </c>
      <c r="H81" s="10" t="inlineStr">
        <is>
          <t>扣0.5分。分析了目标职业的核心要求、企业梯队和职业路径序列，体现了对职业素养和路径的理解。但对人才供需状况、具体岗位职责的差异化、以及招聘需求的动态变化等方面分析不够深入和具体。</t>
        </is>
      </c>
      <c r="I81" s="10" t="inlineStr"/>
    </row>
    <row r="82">
      <c r="A82" s="13" t="inlineStr">
        <is>
          <t>202502210204</t>
        </is>
      </c>
      <c r="B82" s="13" t="inlineStr">
        <is>
          <t>物联网工程何颂平</t>
        </is>
      </c>
      <c r="C82" s="13" t="inlineStr">
        <is>
          <t>职业目标与能力基础</t>
        </is>
      </c>
      <c r="D82" s="10" t="inlineStr">
        <is>
          <t>学校与专业背景</t>
        </is>
      </c>
      <c r="E82" s="14" t="n">
        <v>5</v>
      </c>
      <c r="F82" s="14" t="n">
        <v>4</v>
      </c>
      <c r="G82" s="14" t="n">
        <v>1</v>
      </c>
      <c r="H82" s="10" t="inlineStr">
        <is>
          <t>扣1分。报告未明确介绍所在学校及所学专业的具体育人特色，仅提及“物联网工程专业学生”。缺乏对学校资源、专业课程体系如何支撑“智能物联网系统架构师”这一目标的针对性分析，关联性阐述不足。</t>
        </is>
      </c>
      <c r="I82" s="10" t="inlineStr"/>
    </row>
    <row r="83">
      <c r="A83" s="13" t="inlineStr">
        <is>
          <t>202502210204</t>
        </is>
      </c>
      <c r="B83" s="13" t="inlineStr">
        <is>
          <t>物联网工程何颂平</t>
        </is>
      </c>
      <c r="C83" s="13" t="inlineStr">
        <is>
          <t>职业目标与能力基础</t>
        </is>
      </c>
      <c r="D83" s="10" t="inlineStr">
        <is>
          <t>专业能力</t>
        </is>
      </c>
      <c r="E83" s="14" t="n">
        <v>8</v>
      </c>
      <c r="F83" s="14" t="n">
        <v>7</v>
      </c>
      <c r="G83" s="14" t="n">
        <v>1</v>
      </c>
      <c r="H83" s="10" t="inlineStr">
        <is>
          <t>扣1分。列举了掌握的硬技能（如嵌入式开发、通信技术等），并隐含了与目标岗位的匹配性。但未提供具体的成绩、科研成果、奖学金、证书等客观佐证材料，使得能力陈述的主观性较强，与目标岗位的匹配论证不够坚实。</t>
        </is>
      </c>
      <c r="I83" s="10" t="inlineStr"/>
    </row>
    <row r="84">
      <c r="A84" s="13" t="inlineStr">
        <is>
          <t>202502210204</t>
        </is>
      </c>
      <c r="B84" s="13" t="inlineStr">
        <is>
          <t>物联网工程何颂平</t>
        </is>
      </c>
      <c r="C84" s="13" t="inlineStr">
        <is>
          <t>职业目标与能力基础</t>
        </is>
      </c>
      <c r="D84" s="10" t="inlineStr">
        <is>
          <t>综合能力</t>
        </is>
      </c>
      <c r="E84" s="14" t="n">
        <v>6</v>
      </c>
      <c r="F84" s="14" t="n">
        <v>4.5</v>
      </c>
      <c r="G84" s="14" t="n">
        <v>1.5</v>
      </c>
      <c r="H84" s="10" t="inlineStr">
        <is>
          <t>扣1.5分。提到了“待提升”的软技能如团队协作，但未列举任何具体的竞赛、学生工作、任职经历等实例来展示现有的综合能力，因此无法有效评估现有综合能力对职业发展的支撑作用。</t>
        </is>
      </c>
      <c r="I84" s="10" t="inlineStr"/>
    </row>
    <row r="85">
      <c r="A85" s="13" t="inlineStr">
        <is>
          <t>202502210204</t>
        </is>
      </c>
      <c r="B85" s="13" t="inlineStr">
        <is>
          <t>物联网工程何颂平</t>
        </is>
      </c>
      <c r="C85" s="13" t="inlineStr">
        <is>
          <t>职业目标与能力基础</t>
        </is>
      </c>
      <c r="D85" s="10" t="inlineStr">
        <is>
          <t>实践能力</t>
        </is>
      </c>
      <c r="E85" s="14" t="n">
        <v>6</v>
      </c>
      <c r="F85" s="14" t="n">
        <v>5</v>
      </c>
      <c r="G85" s="14" t="n">
        <v>1</v>
      </c>
      <c r="H85" s="10" t="inlineStr">
        <is>
          <t>扣1分。计划中的项目实践（如智能家居项目）描述清晰，但缺乏对过往已完成的校园活动、社会实践或实习经历及其所形成可迁移能力与成果的具体陈述。现有内容更多是未来计划，而非已有实践基础的展示。</t>
        </is>
      </c>
      <c r="I85" s="10" t="inlineStr"/>
    </row>
    <row r="86">
      <c r="A86" s="13" t="inlineStr">
        <is>
          <t>202502210204</t>
        </is>
      </c>
      <c r="B86" s="13" t="inlineStr">
        <is>
          <t>物联网工程何颂平</t>
        </is>
      </c>
      <c r="C86" s="13" t="inlineStr">
        <is>
          <t>职业目标与能力基础</t>
        </is>
      </c>
      <c r="D86" s="10" t="inlineStr">
        <is>
          <t>短板提升计划</t>
        </is>
      </c>
      <c r="E86" s="14" t="n">
        <v>10</v>
      </c>
      <c r="F86" s="14" t="n">
        <v>8</v>
      </c>
      <c r="G86" s="14" t="n">
        <v>2</v>
      </c>
      <c r="H86" s="10" t="inlineStr">
        <is>
          <t>扣2分。识别了“缺乏大型系统实战经验”、“行业场景理解不足”、“商业思维待加强”等关键短板，并提出了通过项目实践、实习、学习等对策。但提升目标不够量化，对策（如“深入学习”）的落地步骤和衡量标准不够明确具体。</t>
        </is>
      </c>
      <c r="I86" s="10" t="inlineStr"/>
    </row>
    <row r="87">
      <c r="A87" s="13" t="inlineStr">
        <is>
          <t>202502210204</t>
        </is>
      </c>
      <c r="B87" s="13" t="inlineStr">
        <is>
          <t>物联网工程何颂平</t>
        </is>
      </c>
      <c r="C87" s="13" t="inlineStr">
        <is>
          <t>职业目标与能力基础</t>
        </is>
      </c>
      <c r="D87" s="10" t="inlineStr">
        <is>
          <t>成长路径</t>
        </is>
      </c>
      <c r="E87" s="14" t="n">
        <v>15</v>
      </c>
      <c r="F87" s="14" t="n">
        <v>13</v>
      </c>
      <c r="G87" s="14" t="n">
        <v>2</v>
      </c>
      <c r="H87" s="10" t="inlineStr">
        <is>
          <t>扣2分。设置了短期、中期、长期目标及里程碑，逻辑基本连贯。短期行动计划非常具体。但中期和长期目标的部分里程碑（如“形成技术专长”、“形成行业级解决方案”）较为抽象，可执行性和可衡量性相较于短期目标有所下降。</t>
        </is>
      </c>
      <c r="I87" s="10" t="inlineStr"/>
    </row>
    <row r="88">
      <c r="A88" s="13" t="inlineStr">
        <is>
          <t>202502210204</t>
        </is>
      </c>
      <c r="B88" s="13" t="inlineStr">
        <is>
          <t>物联网工程何颂平</t>
        </is>
      </c>
      <c r="C88" s="13" t="inlineStr">
        <is>
          <t>动态调整与风险应对</t>
        </is>
      </c>
      <c r="D88" s="10" t="inlineStr">
        <is>
          <t>风险评估与应对策略</t>
        </is>
      </c>
      <c r="E88" s="14" t="n">
        <v>20</v>
      </c>
      <c r="F88" s="14" t="n">
        <v>16</v>
      </c>
      <c r="G88" s="14" t="n">
        <v>4</v>
      </c>
      <c r="H88" s="10" t="inlineStr">
        <is>
          <t>扣4分。识别了“无法进入头部企业”和“技术碎片化”两项主要风险，并给出了应对策略和备选职业方案，体现了前瞻性。但风险评估缺乏对风险发生可能性和影响的初步评估；应对策略（如“先加入…企业”）和备选路径的转换条件、具体准备措施描述不够详尽；评估周期（月/季/年）合理，但未明确说明如何将风险评估纳入该周期进行动态审视。</t>
        </is>
      </c>
      <c r="I88" s="10" t="inlineStr"/>
    </row>
    <row r="89">
      <c r="A89" s="13" t="inlineStr">
        <is>
          <t>202502210110</t>
        </is>
      </c>
      <c r="B89" s="13" t="inlineStr">
        <is>
          <t>刘辉龙</t>
        </is>
      </c>
      <c r="C89" s="13" t="inlineStr">
        <is>
          <t>职业缘起与认知</t>
        </is>
      </c>
      <c r="D89" s="10" t="inlineStr">
        <is>
          <t>职业缘起</t>
        </is>
      </c>
      <c r="E89" s="14" t="n">
        <v>31</v>
      </c>
      <c r="F89" s="14" t="n">
        <v>0</v>
      </c>
      <c r="G89" s="14" t="n">
        <v>31</v>
      </c>
      <c r="H89" s="10" t="inlineStr">
        <is>
          <t>作业完全未说明职业兴趣或目标的来源（如家庭环境、重大事件、过往经历、榜样力量等），此项内容缺失，故不得分。</t>
        </is>
      </c>
      <c r="I89" s="10" t="inlineStr"/>
    </row>
    <row r="90">
      <c r="A90" s="13" t="inlineStr">
        <is>
          <t>202502210110</t>
        </is>
      </c>
      <c r="B90" s="13" t="inlineStr">
        <is>
          <t>刘辉龙</t>
        </is>
      </c>
      <c r="C90" s="13" t="inlineStr">
        <is>
          <t>职业缘起与认知</t>
        </is>
      </c>
      <c r="D90" s="10" t="inlineStr">
        <is>
          <t>自我特征</t>
        </is>
      </c>
      <c r="E90" s="14" t="n">
        <v>8</v>
      </c>
      <c r="F90" s="14" t="n">
        <v>4</v>
      </c>
      <c r="G90" s="14" t="n">
        <v>4</v>
      </c>
      <c r="H90" s="10" t="inlineStr">
        <is>
          <t>提供了MBTI性格测试结果和个人能力盘点，但个人简介缺失，对关键能力/性格特征的描述较为笼统，且未结合360°评价等其他方式。结论与后续目标（如解决方案架构师）的关联性阐述不够具体。扣4分。</t>
        </is>
      </c>
      <c r="I90" s="10" t="inlineStr"/>
    </row>
    <row r="91">
      <c r="A91" s="13" t="inlineStr">
        <is>
          <t>202502210110</t>
        </is>
      </c>
      <c r="B91" s="13" t="inlineStr">
        <is>
          <t>刘辉龙</t>
        </is>
      </c>
      <c r="C91" s="13" t="inlineStr">
        <is>
          <t>职业缘起与认知</t>
        </is>
      </c>
      <c r="D91" s="10" t="inlineStr">
        <is>
          <t>行业认知</t>
        </is>
      </c>
      <c r="E91" s="14" t="n">
        <v>7</v>
      </c>
      <c r="F91" s="14" t="n">
        <v>2</v>
      </c>
      <c r="G91" s="14" t="n">
        <v>5</v>
      </c>
      <c r="H91" s="10" t="inlineStr">
        <is>
          <t>提及了医疗健康、智慧城市、工业物联网等目标行业，并简单提到了政策、市场驱动。但未引用任何具体的国家政策、行业研报、人物访谈等信息来源，分析停留在表面，缺乏对行业现状与趋势的深入、可靠论证。扣5分。</t>
        </is>
      </c>
      <c r="I91" s="10" t="inlineStr"/>
    </row>
    <row r="92">
      <c r="A92" s="13" t="inlineStr">
        <is>
          <t>202502210110</t>
        </is>
      </c>
      <c r="B92" s="13" t="inlineStr">
        <is>
          <t>刘辉龙</t>
        </is>
      </c>
      <c r="C92" s="13" t="inlineStr">
        <is>
          <t>职业缘起与认知</t>
        </is>
      </c>
      <c r="D92" s="10" t="inlineStr">
        <is>
          <t>职业认知</t>
        </is>
      </c>
      <c r="E92" s="14" t="n">
        <v>7</v>
      </c>
      <c r="F92" s="14" t="n">
        <v>2</v>
      </c>
      <c r="G92" s="14" t="n">
        <v>5</v>
      </c>
      <c r="H92" s="10" t="inlineStr">
        <is>
          <t>列举了多个目标岗位，但未对任何具体职业进行人才供需、岗位职责、招聘需求、职业素养等方面的分析。对职业路径的理解仅体现在岗位名称的罗列上，缺乏实质性内容。扣5分。</t>
        </is>
      </c>
      <c r="I92" s="10" t="inlineStr"/>
    </row>
    <row r="93">
      <c r="A93" s="13" t="inlineStr">
        <is>
          <t>202502210110</t>
        </is>
      </c>
      <c r="B93" s="13" t="inlineStr">
        <is>
          <t>刘辉龙</t>
        </is>
      </c>
      <c r="C93" s="13" t="inlineStr">
        <is>
          <t>职业目标与能力基础</t>
        </is>
      </c>
      <c r="D93" s="10" t="inlineStr">
        <is>
          <t>学校与专业背景</t>
        </is>
      </c>
      <c r="E93" s="14" t="n">
        <v>5</v>
      </c>
      <c r="F93" s="14" t="n">
        <v>0</v>
      </c>
      <c r="G93" s="14" t="n">
        <v>5</v>
      </c>
      <c r="H93" s="10" t="inlineStr">
        <is>
          <t>作业中完全未提及所学专业、学校育人特色及其与职业目标的关联，此项内容缺失，故不得分。</t>
        </is>
      </c>
      <c r="I93" s="10" t="inlineStr"/>
    </row>
    <row r="94">
      <c r="A94" s="13" t="inlineStr">
        <is>
          <t>202502210110</t>
        </is>
      </c>
      <c r="B94" s="13" t="inlineStr">
        <is>
          <t>刘辉龙</t>
        </is>
      </c>
      <c r="C94" s="13" t="inlineStr">
        <is>
          <t>职业目标与能力基础</t>
        </is>
      </c>
      <c r="D94" s="10" t="inlineStr">
        <is>
          <t>专业能力</t>
        </is>
      </c>
      <c r="E94" s="14" t="n">
        <v>8</v>
      </c>
      <c r="F94" s="14" t="n">
        <v>2</v>
      </c>
      <c r="G94" s="14" t="n">
        <v>6</v>
      </c>
      <c r="H94" s="10" t="inlineStr">
        <is>
          <t>仅列举了“略精通C语言、略懂Python、鸿蒙语言、利用AI创建智能体”，未提供任何成绩、科研成果、奖学金、证书、关键课程等具体支撑材料，也未详细说明这些能力如何与目标岗位（如物联网开发、解决方案架构师）匹配。扣6分。</t>
        </is>
      </c>
      <c r="I94" s="10" t="inlineStr"/>
    </row>
    <row r="95">
      <c r="A95" s="13" t="inlineStr">
        <is>
          <t>202502210110</t>
        </is>
      </c>
      <c r="B95" s="13" t="inlineStr">
        <is>
          <t>刘辉龙</t>
        </is>
      </c>
      <c r="C95" s="13" t="inlineStr">
        <is>
          <t>职业目标与能力基础</t>
        </is>
      </c>
      <c r="D95" s="10" t="inlineStr">
        <is>
          <t>综合能力</t>
        </is>
      </c>
      <c r="E95" s="14" t="n">
        <v>6</v>
      </c>
      <c r="F95" s="14" t="n">
        <v>1</v>
      </c>
      <c r="G95" s="14" t="n">
        <v>5</v>
      </c>
      <c r="H95" s="10" t="inlineStr">
        <is>
          <t>未提及任何竞赛、学生工作、任职经历等能够支撑职业发展的综合能力实例，此项内容基本缺失。扣5分。</t>
        </is>
      </c>
      <c r="I95" s="10" t="inlineStr"/>
    </row>
    <row r="96">
      <c r="A96" s="13" t="inlineStr">
        <is>
          <t>202502210110</t>
        </is>
      </c>
      <c r="B96" s="13" t="inlineStr">
        <is>
          <t>刘辉龙</t>
        </is>
      </c>
      <c r="C96" s="13" t="inlineStr">
        <is>
          <t>职业目标与能力基础</t>
        </is>
      </c>
      <c r="D96" s="10" t="inlineStr">
        <is>
          <t>实践能力</t>
        </is>
      </c>
      <c r="E96" s="14" t="n">
        <v>6</v>
      </c>
      <c r="F96" s="14" t="n">
        <v>2</v>
      </c>
      <c r="G96" s="14" t="n">
        <v>4</v>
      </c>
      <c r="H96" s="10" t="inlineStr">
        <is>
          <t>仅规划了一个“智慧养老健康监测终端系统”项目，但该项目尚处于计划阶段，未描述任何已完成的校园活动、社会实践或实习经历，因此未能展示已形成的可迁移能力与成果。扣4分。</t>
        </is>
      </c>
      <c r="I96" s="10" t="inlineStr"/>
    </row>
    <row r="97">
      <c r="A97" s="13" t="inlineStr">
        <is>
          <t>202502210110</t>
        </is>
      </c>
      <c r="B97" s="13" t="inlineStr">
        <is>
          <t>刘辉龙</t>
        </is>
      </c>
      <c r="C97" s="13" t="inlineStr">
        <is>
          <t>职业目标与能力基础</t>
        </is>
      </c>
      <c r="D97" s="10" t="inlineStr">
        <is>
          <t>短板提升计划</t>
        </is>
      </c>
      <c r="E97" s="14" t="n">
        <v>10</v>
      </c>
      <c r="F97" s="14" t="n">
        <v>4</v>
      </c>
      <c r="G97" s="14" t="n">
        <v>6</v>
      </c>
      <c r="H97" s="10" t="inlineStr">
        <is>
          <t>识别了“缺乏实际经验及操作经验”等关键短板，但提出的提升计划（如“认真完成工作，脚踏实地”）过于笼统，缺乏明确的、可落地的具体对策和时间节点。扣6分。</t>
        </is>
      </c>
      <c r="I97" s="10" t="inlineStr"/>
    </row>
    <row r="98">
      <c r="A98" s="13" t="inlineStr">
        <is>
          <t>202502210110</t>
        </is>
      </c>
      <c r="B98" s="13" t="inlineStr">
        <is>
          <t>刘辉龙</t>
        </is>
      </c>
      <c r="C98" s="13" t="inlineStr">
        <is>
          <t>职业目标与能力基础</t>
        </is>
      </c>
      <c r="D98" s="10" t="inlineStr">
        <is>
          <t>成长路径</t>
        </is>
      </c>
      <c r="E98" s="14" t="n">
        <v>15</v>
      </c>
      <c r="F98" s="14" t="n">
        <v>8</v>
      </c>
      <c r="G98" s="14" t="n">
        <v>7</v>
      </c>
      <c r="H98" s="10" t="inlineStr">
        <is>
          <t>设置了短期（在校考证、做项目）、中期（薪资目标、业务目标）、长期（职位晋升）的阶段目标，逻辑基本连贯。但各阶段目标的里程碑设定不够具体（如考证的具体时间、项目完成标准），可执行性的细节规划不足。扣7分。</t>
        </is>
      </c>
      <c r="I98" s="10" t="inlineStr"/>
    </row>
    <row r="99">
      <c r="A99" s="13" t="inlineStr">
        <is>
          <t>202502210110</t>
        </is>
      </c>
      <c r="B99" s="13" t="inlineStr">
        <is>
          <t>刘辉龙</t>
        </is>
      </c>
      <c r="C99" s="13" t="inlineStr">
        <is>
          <t>动态调整与风险应对</t>
        </is>
      </c>
      <c r="D99" s="10" t="inlineStr">
        <is>
          <t>风险评估与应对策略</t>
        </is>
      </c>
      <c r="E99" s="14" t="n">
        <v>20</v>
      </c>
      <c r="F99" s="14" t="n">
        <v>0</v>
      </c>
      <c r="G99" s="14" t="n">
        <v>20</v>
      </c>
      <c r="H99" s="10" t="inlineStr">
        <is>
          <t>作业完全未识别职业路径中的主要风险，也未给出任何评估周期、应对策略或备选职业方案，此项内容缺失，故不得分。</t>
        </is>
      </c>
      <c r="I99" s="10" t="inlineStr"/>
    </row>
    <row r="100">
      <c r="A100" s="13" t="inlineStr">
        <is>
          <t>202502210113</t>
        </is>
      </c>
      <c r="B100" s="13" t="inlineStr">
        <is>
          <t>刘宇轩</t>
        </is>
      </c>
      <c r="C100" s="13" t="inlineStr">
        <is>
          <t>职业缘起与认知</t>
        </is>
      </c>
      <c r="D100" s="10" t="inlineStr">
        <is>
          <t>职业缘起</t>
        </is>
      </c>
      <c r="E100" s="14" t="n">
        <v>31</v>
      </c>
      <c r="F100" s="14" t="n">
        <v>15</v>
      </c>
      <c r="G100" s="14" t="n">
        <v>16</v>
      </c>
      <c r="H100" s="10" t="inlineStr">
        <is>
          <t>仅提及“产业结构类型”和“人类需求”等宏观因素，未具体说明个人职业兴趣或目标的真实来源（如家庭环境、重大事件、过往经历、榜样力量等），叙述不够真实具体，扣分较多。</t>
        </is>
      </c>
      <c r="I100" s="10" t="inlineStr"/>
    </row>
    <row r="101">
      <c r="A101" s="13" t="inlineStr">
        <is>
          <t>202502210113</t>
        </is>
      </c>
      <c r="B101" s="13" t="inlineStr">
        <is>
          <t>刘宇轩</t>
        </is>
      </c>
      <c r="C101" s="13" t="inlineStr">
        <is>
          <t>职业缘起与认知</t>
        </is>
      </c>
      <c r="D101" s="10" t="inlineStr">
        <is>
          <t>自我特征</t>
        </is>
      </c>
      <c r="E101" s="14" t="n">
        <v>8</v>
      </c>
      <c r="F101" s="14" t="n">
        <v>4</v>
      </c>
      <c r="G101" s="14" t="n">
        <v>4</v>
      </c>
      <c r="H101" s="10" t="inlineStr">
        <is>
          <t>提供了MBTI性格测试结果及优劣势分析，但缺乏个人简介及结合360°评价等其他方式的综合剖析。结论与后续“智能家居测试工程师”目标的匹配性论证不足，扣分。</t>
        </is>
      </c>
      <c r="I101" s="10" t="inlineStr"/>
    </row>
    <row r="102">
      <c r="A102" s="13" t="inlineStr">
        <is>
          <t>202502210113</t>
        </is>
      </c>
      <c r="B102" s="13" t="inlineStr">
        <is>
          <t>刘宇轩</t>
        </is>
      </c>
      <c r="C102" s="13" t="inlineStr">
        <is>
          <t>职业缘起与认知</t>
        </is>
      </c>
      <c r="D102" s="10" t="inlineStr">
        <is>
          <t>行业认知</t>
        </is>
      </c>
      <c r="E102" s="14" t="n">
        <v>7</v>
      </c>
      <c r="F102" s="14" t="n">
        <v>3</v>
      </c>
      <c r="G102" s="14" t="n">
        <v>4</v>
      </c>
      <c r="H102" s="10" t="inlineStr">
        <is>
          <t>对目标行业（智能家居/物联网）的分析仅停留在“第三产业多元化”的宏观层面，未基于国家政策、行业研报、人物访谈等可靠信息进行现状与趋势的深入分析，深度严重不足，扣分。</t>
        </is>
      </c>
      <c r="I102" s="10" t="inlineStr"/>
    </row>
    <row r="103">
      <c r="A103" s="13" t="inlineStr">
        <is>
          <t>202502210113</t>
        </is>
      </c>
      <c r="B103" s="13" t="inlineStr">
        <is>
          <t>刘宇轩</t>
        </is>
      </c>
      <c r="C103" s="13" t="inlineStr">
        <is>
          <t>职业缘起与认知</t>
        </is>
      </c>
      <c r="D103" s="10" t="inlineStr">
        <is>
          <t>职业认知</t>
        </is>
      </c>
      <c r="E103" s="14" t="n">
        <v>7</v>
      </c>
      <c r="F103" s="14" t="n">
        <v>3</v>
      </c>
      <c r="G103" s="14" t="n">
        <v>4</v>
      </c>
      <c r="H103" s="10" t="inlineStr">
        <is>
          <t>列举了目标岗位（智能家居测试/自动化测试工程师）的部分技能要求，但未系统分析该职业的人才供需、岗位职责、招聘需求、职业素养等，对职业路径的理解体现不足，扣分。</t>
        </is>
      </c>
      <c r="I103" s="10" t="inlineStr"/>
    </row>
    <row r="104">
      <c r="A104" s="13" t="inlineStr">
        <is>
          <t>202502210113</t>
        </is>
      </c>
      <c r="B104" s="13" t="inlineStr">
        <is>
          <t>刘宇轩</t>
        </is>
      </c>
      <c r="C104" s="13" t="inlineStr">
        <is>
          <t>职业目标与能力基础</t>
        </is>
      </c>
      <c r="D104" s="10" t="inlineStr">
        <is>
          <t>学校与专业背景</t>
        </is>
      </c>
      <c r="E104" s="14" t="n">
        <v>5</v>
      </c>
      <c r="F104" s="14" t="n">
        <v>0</v>
      </c>
      <c r="G104" s="14" t="n">
        <v>5</v>
      </c>
      <c r="H104" s="10" t="inlineStr">
        <is>
          <t>全文未提及所学专业及所在学校的任何信息，更未分析其与职业目标的相关性，此项内容完全缺失，不得分。</t>
        </is>
      </c>
      <c r="I104" s="10" t="inlineStr"/>
    </row>
    <row r="105">
      <c r="A105" s="13" t="inlineStr">
        <is>
          <t>202502210113</t>
        </is>
      </c>
      <c r="B105" s="13" t="inlineStr">
        <is>
          <t>刘宇轩</t>
        </is>
      </c>
      <c r="C105" s="13" t="inlineStr">
        <is>
          <t>职业目标与能力基础</t>
        </is>
      </c>
      <c r="D105" s="10" t="inlineStr">
        <is>
          <t>专业能力</t>
        </is>
      </c>
      <c r="E105" s="14" t="n">
        <v>8</v>
      </c>
      <c r="F105" s="14" t="n">
        <v>3</v>
      </c>
      <c r="G105" s="14" t="n">
        <v>5</v>
      </c>
      <c r="H105" s="10" t="inlineStr">
        <is>
          <t>仅提及正在学习Python和计划考取PCEP证书，未列举任何已获得的成绩、科研成果、奖学金或关键课程，与目标岗位的匹配性说明非常有限，扣分。</t>
        </is>
      </c>
      <c r="I105" s="10" t="inlineStr"/>
    </row>
    <row r="106">
      <c r="A106" s="13" t="inlineStr">
        <is>
          <t>202502210113</t>
        </is>
      </c>
      <c r="B106" s="13" t="inlineStr">
        <is>
          <t>刘宇轩</t>
        </is>
      </c>
      <c r="C106" s="13" t="inlineStr">
        <is>
          <t>职业目标与能力基础</t>
        </is>
      </c>
      <c r="D106" s="10" t="inlineStr">
        <is>
          <t>综合能力</t>
        </is>
      </c>
      <c r="E106" s="14" t="n">
        <v>6</v>
      </c>
      <c r="F106" s="14" t="n">
        <v>1</v>
      </c>
      <c r="G106" s="14" t="n">
        <v>5</v>
      </c>
      <c r="H106" s="10" t="inlineStr">
        <is>
          <t>未提及任何竞赛、学生工作或任职经历，无法支撑职业发展，此项内容几乎缺失，扣分。</t>
        </is>
      </c>
      <c r="I106" s="10" t="inlineStr"/>
    </row>
    <row r="107">
      <c r="A107" s="13" t="inlineStr">
        <is>
          <t>202502210113</t>
        </is>
      </c>
      <c r="B107" s="13" t="inlineStr">
        <is>
          <t>刘宇轩</t>
        </is>
      </c>
      <c r="C107" s="13" t="inlineStr">
        <is>
          <t>职业目标与能力基础</t>
        </is>
      </c>
      <c r="D107" s="10" t="inlineStr">
        <is>
          <t>实践能力</t>
        </is>
      </c>
      <c r="E107" s="14" t="n">
        <v>6</v>
      </c>
      <c r="F107" s="14" t="n">
        <v>2</v>
      </c>
      <c r="G107" s="14" t="n">
        <v>4</v>
      </c>
      <c r="H107" s="10" t="inlineStr">
        <is>
          <t>提出了一个计划中的“智能家居控制App自动化测试脚本”项目构想，但未描述任何已完成的校园活动、社会实践或实习经历，未形成可迁移的能力与成果，扣分。</t>
        </is>
      </c>
      <c r="I107" s="10" t="inlineStr"/>
    </row>
    <row r="108">
      <c r="A108" s="13" t="inlineStr">
        <is>
          <t>202502210113</t>
        </is>
      </c>
      <c r="B108" s="13" t="inlineStr">
        <is>
          <t>刘宇轩</t>
        </is>
      </c>
      <c r="C108" s="13" t="inlineStr">
        <is>
          <t>职业目标与能力基础</t>
        </is>
      </c>
      <c r="D108" s="10" t="inlineStr">
        <is>
          <t>短板提升计划</t>
        </is>
      </c>
      <c r="E108" s="14" t="n">
        <v>10</v>
      </c>
      <c r="F108" s="14" t="n">
        <v>4</v>
      </c>
      <c r="G108" s="14" t="n">
        <v>6</v>
      </c>
      <c r="H108" s="10" t="inlineStr">
        <is>
          <t>识别了“编程学习经验、项目经验不足”和“表达不算完美”等短板，但提升目标模糊（如“需要改进”），未提出明确、可落地的具体对策，计划性不强，扣分。</t>
        </is>
      </c>
      <c r="I108" s="10" t="inlineStr"/>
    </row>
    <row r="109">
      <c r="A109" s="13" t="inlineStr">
        <is>
          <t>202502210113</t>
        </is>
      </c>
      <c r="B109" s="13" t="inlineStr">
        <is>
          <t>刘宇轩</t>
        </is>
      </c>
      <c r="C109" s="13" t="inlineStr">
        <is>
          <t>职业目标与能力基础</t>
        </is>
      </c>
      <c r="D109" s="10" t="inlineStr">
        <is>
          <t>成长路径</t>
        </is>
      </c>
      <c r="E109" s="14" t="n">
        <v>15</v>
      </c>
      <c r="F109" s="14" t="n">
        <v>9</v>
      </c>
      <c r="G109" s="14" t="n">
        <v>6</v>
      </c>
      <c r="H109" s="10" t="inlineStr">
        <is>
          <t>给出了短期（在校）、中期（毕业初）和长期（3-5年）的阶段目标与里程碑，逻辑基本连贯。但短期目标中的实习项目仅为构想，中期业务目标描述笼统，长期目标中“技术壁垒+管理能力”的具体内涵未阐明，可执行性细节不足，扣分。</t>
        </is>
      </c>
      <c r="I109" s="10" t="inlineStr"/>
    </row>
    <row r="110">
      <c r="A110" s="13" t="inlineStr">
        <is>
          <t>202502210113</t>
        </is>
      </c>
      <c r="B110" s="13" t="inlineStr">
        <is>
          <t>刘宇轩</t>
        </is>
      </c>
      <c r="C110" s="13" t="inlineStr">
        <is>
          <t>动态调整与风险应对</t>
        </is>
      </c>
      <c r="D110" s="10" t="inlineStr">
        <is>
          <t>风险评估与应对策略</t>
        </is>
      </c>
      <c r="E110" s="14" t="n">
        <v>20</v>
      </c>
      <c r="F110" s="14" t="n">
        <v>0</v>
      </c>
      <c r="G110" s="14" t="n">
        <v>20</v>
      </c>
      <c r="H110" s="10" t="inlineStr">
        <is>
          <t>全文未识别任何职业路径中的主要风险，未给出任何评估周期、应对策略或备选职业方案，此项内容完全缺失，不得分。</t>
        </is>
      </c>
      <c r="I110" s="10" t="inlineStr"/>
    </row>
    <row r="111">
      <c r="A111" s="13" t="inlineStr">
        <is>
          <t>202502210216</t>
        </is>
      </c>
      <c r="B111" s="13" t="inlineStr">
        <is>
          <t>叶威佳</t>
        </is>
      </c>
      <c r="C111" s="13" t="inlineStr">
        <is>
          <t>职业缘起与认知</t>
        </is>
      </c>
      <c r="D111" s="10" t="inlineStr">
        <is>
          <t>职业缘起</t>
        </is>
      </c>
      <c r="E111" s="14" t="n">
        <v>31</v>
      </c>
      <c r="F111" s="14" t="n">
        <v>10</v>
      </c>
      <c r="G111" s="14" t="n">
        <v>21</v>
      </c>
      <c r="H111" s="10" t="inlineStr">
        <is>
          <t>扣21分。作业仅提及目标行业与岗位，但未说明职业兴趣或目标的任何具体来源，如家庭环境、重大事件、过往经历、榜样力量等。叙述空洞，不符合“真实具体”的要求。</t>
        </is>
      </c>
      <c r="I111" s="10" t="inlineStr"/>
    </row>
    <row r="112">
      <c r="A112" s="13" t="inlineStr">
        <is>
          <t>202502210216</t>
        </is>
      </c>
      <c r="B112" s="13" t="inlineStr">
        <is>
          <t>叶威佳</t>
        </is>
      </c>
      <c r="C112" s="13" t="inlineStr">
        <is>
          <t>职业缘起与认知</t>
        </is>
      </c>
      <c r="D112" s="10" t="inlineStr">
        <is>
          <t>自我特征</t>
        </is>
      </c>
      <c r="E112" s="14" t="n">
        <v>8</v>
      </c>
      <c r="F112" s="14" t="n">
        <v>4</v>
      </c>
      <c r="G112" s="14" t="n">
        <v>4</v>
      </c>
      <c r="H112" s="10" t="inlineStr">
        <is>
          <t>扣4分。提供了霍兰德测试结果及SWOT分析，对个人性格特征和能力优劣势有描述。但个人简介缺失，且分析结论（如SCI型人格特征、缺乏编程能力）与后续设定的“物联网设备调试工程师”目标岗位之间的关联性与一致性论证不足。</t>
        </is>
      </c>
      <c r="I112" s="10" t="inlineStr"/>
    </row>
    <row r="113">
      <c r="A113" s="13" t="inlineStr">
        <is>
          <t>202502210216</t>
        </is>
      </c>
      <c r="B113" s="13" t="inlineStr">
        <is>
          <t>叶威佳</t>
        </is>
      </c>
      <c r="C113" s="13" t="inlineStr">
        <is>
          <t>职业缘起与认知</t>
        </is>
      </c>
      <c r="D113" s="10" t="inlineStr">
        <is>
          <t>行业认知</t>
        </is>
      </c>
      <c r="E113" s="14" t="n">
        <v>7</v>
      </c>
      <c r="F113" s="14" t="n">
        <v>2</v>
      </c>
      <c r="G113" s="14" t="n">
        <v>5</v>
      </c>
      <c r="H113" s="10" t="inlineStr">
        <is>
          <t>扣5分。仅用一句话提及看好物联网行业的前景性和持续性，缺乏基于国家政策、行业研报、人物访谈等任何可靠信息来源的分析，对行业现状、发展趋势、挑战等均未涉及，分析无深度。</t>
        </is>
      </c>
      <c r="I113" s="10" t="inlineStr"/>
    </row>
    <row r="114">
      <c r="A114" s="13" t="inlineStr">
        <is>
          <t>202502210216</t>
        </is>
      </c>
      <c r="B114" s="13" t="inlineStr">
        <is>
          <t>叶威佳</t>
        </is>
      </c>
      <c r="C114" s="13" t="inlineStr">
        <is>
          <t>职业缘起与认知</t>
        </is>
      </c>
      <c r="D114" s="10" t="inlineStr">
        <is>
          <t>职业认知</t>
        </is>
      </c>
      <c r="E114" s="14" t="n">
        <v>7</v>
      </c>
      <c r="F114" s="14" t="n">
        <v>3</v>
      </c>
      <c r="G114" s="14" t="n">
        <v>4</v>
      </c>
      <c r="H114" s="10" t="inlineStr">
        <is>
          <t>扣4分。仅列举了物联网设备调试工程师的部分工具和技能要求，并与自身现状做了简单对比。未分析该职业的人才供需、岗位具体职责、典型招聘需求、所需职业素养，也未体现对职业发展路径（如初级、高级工程师的差异）的理解。</t>
        </is>
      </c>
      <c r="I114" s="10" t="inlineStr"/>
    </row>
    <row r="115">
      <c r="A115" s="13" t="inlineStr">
        <is>
          <t>202502210216</t>
        </is>
      </c>
      <c r="B115" s="13" t="inlineStr">
        <is>
          <t>叶威佳</t>
        </is>
      </c>
      <c r="C115" s="13" t="inlineStr">
        <is>
          <t>职业目标与能力基础</t>
        </is>
      </c>
      <c r="D115" s="10" t="inlineStr">
        <is>
          <t>学校与专业背景</t>
        </is>
      </c>
      <c r="E115" s="14" t="n">
        <v>5</v>
      </c>
      <c r="F115" s="14" t="n">
        <v>1</v>
      </c>
      <c r="G115" s="14" t="n">
        <v>4</v>
      </c>
      <c r="H115" s="10" t="inlineStr">
        <is>
          <t>扣4分。全文未提及所学专业、所在学校及其育人特色，因此无法判断其介绍是否准确，以及与物联网工程职业目标的相关性。</t>
        </is>
      </c>
      <c r="I115" s="10" t="inlineStr"/>
    </row>
    <row r="116">
      <c r="A116" s="13" t="inlineStr">
        <is>
          <t>202502210216</t>
        </is>
      </c>
      <c r="B116" s="13" t="inlineStr">
        <is>
          <t>叶威佳</t>
        </is>
      </c>
      <c r="C116" s="13" t="inlineStr">
        <is>
          <t>职业目标与能力基础</t>
        </is>
      </c>
      <c r="D116" s="10" t="inlineStr">
        <is>
          <t>专业能力</t>
        </is>
      </c>
      <c r="E116" s="14" t="n">
        <v>8</v>
      </c>
      <c r="F116" s="14" t="n">
        <v>2</v>
      </c>
      <c r="G116" s="14" t="n">
        <v>6</v>
      </c>
      <c r="H116" s="10" t="inlineStr">
        <is>
          <t>扣6分。仅提及计划考取华为物联网工程证书和英语四六级，未列举任何现有的成绩、科研成果、奖学金、已获证书、关键课程等。因此无法评估现有专业能力，也无法说明与目标岗位的匹配性。</t>
        </is>
      </c>
      <c r="I116" s="10" t="inlineStr"/>
    </row>
    <row r="117">
      <c r="A117" s="13" t="inlineStr">
        <is>
          <t>202502210216</t>
        </is>
      </c>
      <c r="B117" s="13" t="inlineStr">
        <is>
          <t>叶威佳</t>
        </is>
      </c>
      <c r="C117" s="13" t="inlineStr">
        <is>
          <t>职业目标与能力基础</t>
        </is>
      </c>
      <c r="D117" s="10" t="inlineStr">
        <is>
          <t>综合能力</t>
        </is>
      </c>
      <c r="E117" s="14" t="n">
        <v>6</v>
      </c>
      <c r="F117" s="14" t="n">
        <v>2</v>
      </c>
      <c r="G117" s="14" t="n">
        <v>4</v>
      </c>
      <c r="H117" s="10" t="inlineStr">
        <is>
          <t>扣4分。提及“积累人脉、管理能力和待人之道”，但未提供任何具体的竞赛、学生工作、任职经历等实例来支撑这些综合能力的发展，论证空洞。</t>
        </is>
      </c>
      <c r="I117" s="10" t="inlineStr"/>
    </row>
    <row r="118">
      <c r="A118" s="13" t="inlineStr">
        <is>
          <t>202502210216</t>
        </is>
      </c>
      <c r="B118" s="13" t="inlineStr">
        <is>
          <t>叶威佳</t>
        </is>
      </c>
      <c r="C118" s="13" t="inlineStr">
        <is>
          <t>职业目标与能力基础</t>
        </is>
      </c>
      <c r="D118" s="10" t="inlineStr">
        <is>
          <t>实践能力</t>
        </is>
      </c>
      <c r="E118" s="14" t="n">
        <v>6</v>
      </c>
      <c r="F118" s="14" t="n">
        <v>2</v>
      </c>
      <c r="G118" s="14" t="n">
        <v>4</v>
      </c>
      <c r="H118" s="10" t="inlineStr">
        <is>
          <t>扣4分。仅提到计划寻找工厂实习，未描述任何已参与的校园活动、社会实践或实习经历，因此无法评估是否已形成可迁移的能力与成果。</t>
        </is>
      </c>
      <c r="I118" s="10" t="inlineStr"/>
    </row>
    <row r="119">
      <c r="A119" s="13" t="inlineStr">
        <is>
          <t>202502210216</t>
        </is>
      </c>
      <c r="B119" s="13" t="inlineStr">
        <is>
          <t>叶威佳</t>
        </is>
      </c>
      <c r="C119" s="13" t="inlineStr">
        <is>
          <t>职业目标与能力基础</t>
        </is>
      </c>
      <c r="D119" s="10" t="inlineStr">
        <is>
          <t>短板提升计划</t>
        </is>
      </c>
      <c r="E119" s="14" t="n">
        <v>10</v>
      </c>
      <c r="F119" s="14" t="n">
        <v>5</v>
      </c>
      <c r="G119" s="14" t="n">
        <v>5</v>
      </c>
      <c r="H119" s="10" t="inlineStr">
        <is>
          <t>扣5分。识别了“缺乏编程能力”、“不熟悉示波器等工具”、“不懂单片机基础”等关键短板，并提出了“学习编程工具”、“熟用示波器”、“自主学习单片机”等方向。但提升目标不够明确（如学到何种程度），对策不够具体和可落地（如通过什么课程、项目、练习来达成）。</t>
        </is>
      </c>
      <c r="I119" s="10" t="inlineStr"/>
    </row>
    <row r="120">
      <c r="A120" s="13" t="inlineStr">
        <is>
          <t>202502210216</t>
        </is>
      </c>
      <c r="B120" s="13" t="inlineStr">
        <is>
          <t>叶威佳</t>
        </is>
      </c>
      <c r="C120" s="13" t="inlineStr">
        <is>
          <t>职业目标与能力基础</t>
        </is>
      </c>
      <c r="D120" s="10" t="inlineStr">
        <is>
          <t>成长路径</t>
        </is>
      </c>
      <c r="E120" s="14" t="n">
        <v>15</v>
      </c>
      <c r="F120" s="14" t="n">
        <v>8</v>
      </c>
      <c r="G120" s="14" t="n">
        <v>7</v>
      </c>
      <c r="H120" s="10" t="inlineStr">
        <is>
          <t>扣7分。划分了短期（在校）、中期（职场适应期）、长期（职业发展期）三个阶段，并设定了考证、实习、薪资、项目负责、晋升等目标。但各阶段目标较为笼统，里程碑不够清晰（如“脱离职场小白”），阶段之间的逻辑连贯性一般，部分目标（如“靠人脉立足”）的可执行性与衡量标准不明确。</t>
        </is>
      </c>
      <c r="I120" s="10" t="inlineStr"/>
    </row>
    <row r="121">
      <c r="A121" s="13" t="inlineStr">
        <is>
          <t>202502210216</t>
        </is>
      </c>
      <c r="B121" s="13" t="inlineStr">
        <is>
          <t>叶威佳</t>
        </is>
      </c>
      <c r="C121" s="13" t="inlineStr">
        <is>
          <t>动态调整与风险应对</t>
        </is>
      </c>
      <c r="D121" s="10" t="inlineStr">
        <is>
          <t>风险评估与应对策略</t>
        </is>
      </c>
      <c r="E121" s="14" t="n">
        <v>20</v>
      </c>
      <c r="F121" s="14" t="n">
        <v>0</v>
      </c>
      <c r="G121" s="14" t="n">
        <v>20</v>
      </c>
      <c r="H121" s="10" t="inlineStr">
        <is>
          <t>扣20分。作业全文未识别职业路径中可能存在的任何风险（如技术迭代、就业竞争、个人发展瓶颈等），未给出风险评估周期、应对策略，也未提供任何备选职业方案。完全不符合评分细则要求，未能体现规划的弹性与前瞻性。</t>
        </is>
      </c>
      <c r="I121" s="10" t="inlineStr"/>
    </row>
    <row r="122">
      <c r="A122" s="13" t="inlineStr">
        <is>
          <t>202502210073</t>
        </is>
      </c>
      <c r="B122" s="13" t="inlineStr">
        <is>
          <t>物联网工程李金瀚</t>
        </is>
      </c>
      <c r="C122" s="13" t="inlineStr">
        <is>
          <t>职业缘起与认知</t>
        </is>
      </c>
      <c r="D122" s="10" t="inlineStr">
        <is>
          <t>职业缘起</t>
        </is>
      </c>
      <c r="E122" s="14" t="n">
        <v>31</v>
      </c>
      <c r="F122" s="14" t="n">
        <v>10</v>
      </c>
      <c r="G122" s="14" t="n">
        <v>21</v>
      </c>
      <c r="H122" s="10" t="inlineStr">
        <is>
          <t>仅提及因前景和薪资选择互联网/物联网行业，后因学习体验感到后悔但决定坚持。叙述过于简略，未具体说明兴趣或目标的来源（如家庭、事件、经历、榜样等），缺乏真实具体的细节支撑，说服力弱。</t>
        </is>
      </c>
      <c r="I122" s="10" t="inlineStr"/>
    </row>
    <row r="123">
      <c r="A123" s="13" t="inlineStr">
        <is>
          <t>202502210073</t>
        </is>
      </c>
      <c r="B123" s="13" t="inlineStr">
        <is>
          <t>物联网工程李金瀚</t>
        </is>
      </c>
      <c r="C123" s="13" t="inlineStr">
        <is>
          <t>职业缘起与认知</t>
        </is>
      </c>
      <c r="D123" s="10" t="inlineStr">
        <is>
          <t>自我特征</t>
        </is>
      </c>
      <c r="E123" s="14" t="n">
        <v>8</v>
      </c>
      <c r="F123" s="14" t="n">
        <v>2</v>
      </c>
      <c r="G123" s="14" t="n">
        <v>6</v>
      </c>
      <c r="H123" s="10" t="inlineStr">
        <is>
          <t>提供了MBTI性格测试结果及优劣势分析，但个人简介缺失，关键能力盘点结论为“什么都缺”，过于消极且未结合任何职业测试或360°评价进行客观分析。自我认知结论与后续设定的高要求技术岗位目标严重不一致，缺乏逻辑关联。</t>
        </is>
      </c>
      <c r="I123" s="10" t="inlineStr"/>
    </row>
    <row r="124">
      <c r="A124" s="13" t="inlineStr">
        <is>
          <t>202502210073</t>
        </is>
      </c>
      <c r="B124" s="13" t="inlineStr">
        <is>
          <t>物联网工程李金瀚</t>
        </is>
      </c>
      <c r="C124" s="13" t="inlineStr">
        <is>
          <t>职业缘起与认知</t>
        </is>
      </c>
      <c r="D124" s="10" t="inlineStr">
        <is>
          <t>行业认知</t>
        </is>
      </c>
      <c r="E124" s="14" t="n">
        <v>7</v>
      </c>
      <c r="F124" s="14" t="n">
        <v>0</v>
      </c>
      <c r="G124" s="14" t="n">
        <v>7</v>
      </c>
      <c r="H124" s="10" t="inlineStr">
        <is>
          <t>完全未对目标行业（物联网）的现状与趋势进行分析。未引用任何国家政策、行业研报、人物访谈等信息，缺乏对行业的基本了解。</t>
        </is>
      </c>
      <c r="I124" s="10" t="inlineStr"/>
    </row>
    <row r="125">
      <c r="A125" s="13" t="inlineStr">
        <is>
          <t>202502210073</t>
        </is>
      </c>
      <c r="B125" s="13" t="inlineStr">
        <is>
          <t>物联网工程李金瀚</t>
        </is>
      </c>
      <c r="C125" s="13" t="inlineStr">
        <is>
          <t>职业缘起与认知</t>
        </is>
      </c>
      <c r="D125" s="10" t="inlineStr">
        <is>
          <t>职业认知</t>
        </is>
      </c>
      <c r="E125" s="14" t="n">
        <v>7</v>
      </c>
      <c r="F125" s="14" t="n">
        <v>1</v>
      </c>
      <c r="G125" s="14" t="n">
        <v>6</v>
      </c>
      <c r="H125" s="10" t="inlineStr">
        <is>
          <t>仅罗列了“后端开发工程师”岗位的企业要求（技能清单），但未对目标职业的人才供需、岗位职责、招聘需求、职业素养等进行任何分析，也未体现对职业发展路径的理解。认知停留在技能列表层面，深度不足。</t>
        </is>
      </c>
      <c r="I125" s="10" t="inlineStr"/>
    </row>
    <row r="126">
      <c r="A126" s="13" t="inlineStr">
        <is>
          <t>202502210073</t>
        </is>
      </c>
      <c r="B126" s="13" t="inlineStr">
        <is>
          <t>物联网工程李金瀚</t>
        </is>
      </c>
      <c r="C126" s="13" t="inlineStr">
        <is>
          <t>职业目标与能力基础</t>
        </is>
      </c>
      <c r="D126" s="10" t="inlineStr">
        <is>
          <t>学校与专业背景</t>
        </is>
      </c>
      <c r="E126" s="14" t="n">
        <v>5</v>
      </c>
      <c r="F126" s="14" t="n">
        <v>0</v>
      </c>
      <c r="G126" s="14" t="n">
        <v>5</v>
      </c>
      <c r="H126" s="10" t="inlineStr">
        <is>
          <t>全文未提及所学专业、学校及任何育人特色，无法评估其与职业目标（物联网后端开发）的相关性与准确性。</t>
        </is>
      </c>
      <c r="I126" s="10" t="inlineStr"/>
    </row>
    <row r="127">
      <c r="A127" s="13" t="inlineStr">
        <is>
          <t>202502210073</t>
        </is>
      </c>
      <c r="B127" s="13" t="inlineStr">
        <is>
          <t>物联网工程李金瀚</t>
        </is>
      </c>
      <c r="C127" s="13" t="inlineStr">
        <is>
          <t>职业目标与能力基础</t>
        </is>
      </c>
      <c r="D127" s="10" t="inlineStr">
        <is>
          <t>专业能力</t>
        </is>
      </c>
      <c r="E127" s="14" t="n">
        <v>8</v>
      </c>
      <c r="F127" s="14" t="n">
        <v>1</v>
      </c>
      <c r="G127" s="14" t="n">
        <v>7</v>
      </c>
      <c r="H127" s="10" t="inlineStr">
        <is>
          <t>仅说明自己是“程序语言的初学者”，未列举任何具体的成绩、科研成果、奖学金、证书、关键课程等。完全未说明现有专业能力与目标岗位的匹配性，信息缺失严重。</t>
        </is>
      </c>
      <c r="I127" s="10" t="inlineStr"/>
    </row>
    <row r="128">
      <c r="A128" s="13" t="inlineStr">
        <is>
          <t>202502210073</t>
        </is>
      </c>
      <c r="B128" s="13" t="inlineStr">
        <is>
          <t>物联网工程李金瀚</t>
        </is>
      </c>
      <c r="C128" s="13" t="inlineStr">
        <is>
          <t>职业目标与能力基础</t>
        </is>
      </c>
      <c r="D128" s="10" t="inlineStr">
        <is>
          <t>综合能力</t>
        </is>
      </c>
      <c r="E128" s="14" t="n">
        <v>6</v>
      </c>
      <c r="F128" s="14" t="n">
        <v>0</v>
      </c>
      <c r="G128" s="14" t="n">
        <v>6</v>
      </c>
      <c r="H128" s="10" t="inlineStr">
        <is>
          <t>未提及任何竞赛、学生工作、任职经历等综合能力相关的经历或成果，无法评估其对职业发展的支撑作用。</t>
        </is>
      </c>
      <c r="I128" s="10" t="inlineStr"/>
    </row>
    <row r="129">
      <c r="A129" s="13" t="inlineStr">
        <is>
          <t>202502210073</t>
        </is>
      </c>
      <c r="B129" s="13" t="inlineStr">
        <is>
          <t>物联网工程李金瀚</t>
        </is>
      </c>
      <c r="C129" s="13" t="inlineStr">
        <is>
          <t>职业目标与能力基础</t>
        </is>
      </c>
      <c r="D129" s="10" t="inlineStr">
        <is>
          <t>实践能力</t>
        </is>
      </c>
      <c r="E129" s="14" t="n">
        <v>6</v>
      </c>
      <c r="F129" s="14" t="n">
        <v>0</v>
      </c>
      <c r="G129" s="14" t="n">
        <v>6</v>
      </c>
      <c r="H129" s="10" t="inlineStr">
        <is>
          <t>未提及任何校园活动、社会实践、实习等实践经历，也未说明通过这些活动形成了何种可迁移的能力与成果。</t>
        </is>
      </c>
      <c r="I129" s="10" t="inlineStr"/>
    </row>
    <row r="130">
      <c r="A130" s="13" t="inlineStr">
        <is>
          <t>202502210073</t>
        </is>
      </c>
      <c r="B130" s="13" t="inlineStr">
        <is>
          <t>物联网工程李金瀚</t>
        </is>
      </c>
      <c r="C130" s="13" t="inlineStr">
        <is>
          <t>职业目标与能力基础</t>
        </is>
      </c>
      <c r="D130" s="10" t="inlineStr">
        <is>
          <t>短板提升计划</t>
        </is>
      </c>
      <c r="E130" s="14" t="n">
        <v>10</v>
      </c>
      <c r="F130" s="14" t="n">
        <v>0</v>
      </c>
      <c r="G130" s="14" t="n">
        <v>10</v>
      </c>
      <c r="H130" s="10" t="inlineStr">
        <is>
          <t>完全未识别个人关键短板，也未提出任何明确的提升目标与可落地的对策。仅在自我认知中笼统提到“什么都缺”，但未形成计划。</t>
        </is>
      </c>
      <c r="I130" s="10" t="inlineStr"/>
    </row>
    <row r="131">
      <c r="A131" s="13" t="inlineStr">
        <is>
          <t>202502210073</t>
        </is>
      </c>
      <c r="B131" s="13" t="inlineStr">
        <is>
          <t>物联网工程李金瀚</t>
        </is>
      </c>
      <c r="C131" s="13" t="inlineStr">
        <is>
          <t>职业目标与能力基础</t>
        </is>
      </c>
      <c r="D131" s="10" t="inlineStr">
        <is>
          <t>成长路径</t>
        </is>
      </c>
      <c r="E131" s="14" t="n">
        <v>15</v>
      </c>
      <c r="F131" s="14" t="n">
        <v>12</v>
      </c>
      <c r="G131" s="14" t="n">
        <v>3</v>
      </c>
      <c r="H131" s="10" t="inlineStr">
        <is>
          <t>给出了短期（在校）、中期（职场适应期）、长期（职业发展期）三个阶段非常详细且具有逻辑性的技术学习与职业发展目标、里程碑和行动方案，可执行性强。扣分原因在于该路径与作业前文所述的“初学者”现状和“什么都缺”的自我评估存在一定脱节，规划略显理想化。</t>
        </is>
      </c>
      <c r="I131" s="10" t="inlineStr"/>
    </row>
    <row r="132">
      <c r="A132" s="13" t="inlineStr">
        <is>
          <t>202502210073</t>
        </is>
      </c>
      <c r="B132" s="13" t="inlineStr">
        <is>
          <t>物联网工程李金瀚</t>
        </is>
      </c>
      <c r="C132" s="13" t="inlineStr">
        <is>
          <t>动态调整与风险应对</t>
        </is>
      </c>
      <c r="D132" s="10" t="inlineStr">
        <is>
          <t>风险评估与应对策略</t>
        </is>
      </c>
      <c r="E132" s="14" t="n">
        <v>20</v>
      </c>
      <c r="F132" s="14" t="n">
        <v>0</v>
      </c>
      <c r="G132" s="14" t="n">
        <v>20</v>
      </c>
      <c r="H132" s="10" t="inlineStr">
        <is>
          <t>完全未识别职业路径中的任何潜在风险，未给出风险评估周期、应对策略或备选职业方案。缺乏对规划弹性和前瞻性的考虑。</t>
        </is>
      </c>
      <c r="I132" s="10" t="inlineStr"/>
    </row>
    <row r="133">
      <c r="A133" s="13" t="n"/>
      <c r="B133" s="13" t="n"/>
      <c r="C133" s="13" t="inlineStr">
        <is>
          <t>职业缘起与认知</t>
        </is>
      </c>
      <c r="D133" s="10" t="inlineStr">
        <is>
          <t>职业缘起</t>
        </is>
      </c>
      <c r="E133" s="14" t="n">
        <v>31</v>
      </c>
      <c r="F133" s="14" t="n">
        <v>18</v>
      </c>
      <c r="G133" s="14" t="n">
        <v>13</v>
      </c>
      <c r="H133" s="10" t="inlineStr">
        <is>
          <t>扣13分。作业说明了职业兴趣来源于性格测试（RIS型）和个人兴趣价值观（偏爱落地技术、重视人际温度），但未具体阐述家庭环境、重大事件、过往经历或榜样力量等来源，叙述较为概括，缺乏真实具体的细节支撑。</t>
        </is>
      </c>
      <c r="I133" s="10" t="inlineStr"/>
    </row>
    <row r="134">
      <c r="A134" s="13" t="n"/>
      <c r="B134" s="13" t="n"/>
      <c r="C134" s="13" t="inlineStr">
        <is>
          <t>职业缘起与认知</t>
        </is>
      </c>
      <c r="D134" s="10" t="inlineStr">
        <is>
          <t>自我特征</t>
        </is>
      </c>
      <c r="E134" s="14" t="n">
        <v>8</v>
      </c>
      <c r="F134" s="14" t="n">
        <v>5</v>
      </c>
      <c r="G134" s="14" t="n">
        <v>3</v>
      </c>
      <c r="H134" s="10" t="inlineStr">
        <is>
          <t>扣3分。给出了霍兰德职业测试结论及个人兴趣价值观，属于个人简介与特征。但未结合360°评价等其他方式，且结论（如RIS型）与后续目标岗位（物联网运维工程师）的关联性分析较弱，一致性体现不足。</t>
        </is>
      </c>
      <c r="I134" s="10" t="inlineStr"/>
    </row>
    <row r="135">
      <c r="A135" s="13" t="n"/>
      <c r="B135" s="13" t="n"/>
      <c r="C135" s="13" t="inlineStr">
        <is>
          <t>职业缘起与认知</t>
        </is>
      </c>
      <c r="D135" s="10" t="inlineStr">
        <is>
          <t>行业认知</t>
        </is>
      </c>
      <c r="E135" s="14" t="n">
        <v>7</v>
      </c>
      <c r="F135" s="14" t="n">
        <v>3</v>
      </c>
      <c r="G135" s="14" t="n">
        <v>4</v>
      </c>
      <c r="H135" s="10" t="inlineStr">
        <is>
          <t>扣4分。对智慧医疗/物联网行业有基于人口老龄化和医疗资源不均的现状与趋势分析，信息基本可靠。但分析过于简略，未引用国家政策、行业研报或人物访谈等具体信息，缺乏深度。</t>
        </is>
      </c>
      <c r="I135" s="10" t="inlineStr"/>
    </row>
    <row r="136">
      <c r="A136" s="13" t="n"/>
      <c r="B136" s="13" t="n"/>
      <c r="C136" s="13" t="inlineStr">
        <is>
          <t>职业缘起与认知</t>
        </is>
      </c>
      <c r="D136" s="10" t="inlineStr">
        <is>
          <t>职业认知</t>
        </is>
      </c>
      <c r="E136" s="14" t="n">
        <v>7</v>
      </c>
      <c r="F136" s="14" t="n">
        <v>3</v>
      </c>
      <c r="G136" s="14" t="n">
        <v>4</v>
      </c>
      <c r="H136" s="10" t="inlineStr">
        <is>
          <t>扣4分。分析了目标岗位（物联网运维工程师）的部分硬性技术要求及自身差距，涉及了岗位职责和招聘需求。但对人才供需、职业素养、完整的职业路径理解等方面均未进行分析，认知不全面。</t>
        </is>
      </c>
      <c r="I136" s="10" t="inlineStr"/>
    </row>
    <row r="137">
      <c r="A137" s="13" t="n"/>
      <c r="B137" s="13" t="n"/>
      <c r="C137" s="13" t="inlineStr">
        <is>
          <t>职业目标与能力基础</t>
        </is>
      </c>
      <c r="D137" s="10" t="inlineStr">
        <is>
          <t>学校与专业背景</t>
        </is>
      </c>
      <c r="E137" s="14" t="n">
        <v>5</v>
      </c>
      <c r="F137" s="14" t="n">
        <v>1</v>
      </c>
      <c r="G137" s="14" t="n">
        <v>4</v>
      </c>
      <c r="H137" s="10" t="inlineStr">
        <is>
          <t>扣4分。全文未提及所学专业、学校及任何育人特色，无法判断其准确性与职业目标的相关性。</t>
        </is>
      </c>
      <c r="I137" s="10" t="inlineStr"/>
    </row>
    <row r="138">
      <c r="A138" s="13" t="n"/>
      <c r="B138" s="13" t="n"/>
      <c r="C138" s="13" t="inlineStr">
        <is>
          <t>职业目标与能力基础</t>
        </is>
      </c>
      <c r="D138" s="10" t="inlineStr">
        <is>
          <t>专业能力</t>
        </is>
      </c>
      <c r="E138" s="14" t="n">
        <v>8</v>
      </c>
      <c r="F138" s="14" t="n">
        <v>2</v>
      </c>
      <c r="G138" s="14" t="n">
        <v>6</v>
      </c>
      <c r="H138" s="10" t="inlineStr">
        <is>
          <t>扣6分。仅提及“只学会基础C语言”，未列举任何成绩、科研成果、奖学金、证书或关键课程。对现有专业能力与目标岗位（物联网运维工程师）的匹配性说明极其薄弱。</t>
        </is>
      </c>
      <c r="I138" s="10" t="inlineStr"/>
    </row>
    <row r="139">
      <c r="A139" s="13" t="n"/>
      <c r="B139" s="13" t="n"/>
      <c r="C139" s="13" t="inlineStr">
        <is>
          <t>职业目标与能力基础</t>
        </is>
      </c>
      <c r="D139" s="10" t="inlineStr">
        <is>
          <t>综合能力</t>
        </is>
      </c>
      <c r="E139" s="14" t="n">
        <v>6</v>
      </c>
      <c r="F139" s="14" t="n">
        <v>1</v>
      </c>
      <c r="G139" s="14" t="n">
        <v>5</v>
      </c>
      <c r="H139" s="10" t="inlineStr">
        <is>
          <t>扣5分。未提及任何竞赛、学生工作、任职经历等综合能力相关内容，无法支撑职业发展。</t>
        </is>
      </c>
      <c r="I139" s="10" t="inlineStr"/>
    </row>
    <row r="140">
      <c r="A140" s="13" t="n"/>
      <c r="B140" s="13" t="n"/>
      <c r="C140" s="13" t="inlineStr">
        <is>
          <t>职业目标与能力基础</t>
        </is>
      </c>
      <c r="D140" s="10" t="inlineStr">
        <is>
          <t>实践能力</t>
        </is>
      </c>
      <c r="E140" s="14" t="n">
        <v>6</v>
      </c>
      <c r="F140" s="14" t="n">
        <v>1</v>
      </c>
      <c r="G140" s="14" t="n">
        <v>5</v>
      </c>
      <c r="H140" s="10" t="inlineStr">
        <is>
          <t>扣5分。仅提及计划实习（广东医净空间工程技术有限公司），但未描述任何已完成的校园活动、社会实践或实习，未形成可迁移的能力与成果。</t>
        </is>
      </c>
      <c r="I140" s="10" t="inlineStr"/>
    </row>
    <row r="141">
      <c r="A141" s="13" t="n"/>
      <c r="B141" s="13" t="n"/>
      <c r="C141" s="13" t="inlineStr">
        <is>
          <t>职业目标与能力基础</t>
        </is>
      </c>
      <c r="D141" s="10" t="inlineStr">
        <is>
          <t>短板提升计划</t>
        </is>
      </c>
      <c r="E141" s="14" t="n">
        <v>10</v>
      </c>
      <c r="F141" s="14" t="n">
        <v>0</v>
      </c>
      <c r="G141" s="14" t="n">
        <v>10</v>
      </c>
      <c r="H141" s="10" t="inlineStr">
        <is>
          <t>扣10分。在能力盘点中识别了“C语言不够熟练”和“英语成绩不够优秀”两个短板，但未针对任何短板提出明确的提升目标与可落地的具体对策。</t>
        </is>
      </c>
      <c r="I141" s="10" t="inlineStr"/>
    </row>
    <row r="142">
      <c r="A142" s="13" t="n"/>
      <c r="B142" s="13" t="n"/>
      <c r="C142" s="13" t="inlineStr">
        <is>
          <t>职业目标与能力基础</t>
        </is>
      </c>
      <c r="D142" s="10" t="inlineStr">
        <is>
          <t>成长路径</t>
        </is>
      </c>
      <c r="E142" s="14" t="n">
        <v>15</v>
      </c>
      <c r="F142" s="14" t="n">
        <v>8</v>
      </c>
      <c r="G142" s="14" t="n">
        <v>7</v>
      </c>
      <c r="H142" s="10" t="inlineStr">
        <is>
          <t>扣7分。给出了短期（在校）、中期（0-2年）、长期（3-5年）的阶段划分与目标，逻辑基本连贯。但各阶段目标（如“脱离职场小白”、“晋升为主管”）过于笼统，缺乏具体、可执行的里程碑描述，可执行性不足。</t>
        </is>
      </c>
      <c r="I142" s="10" t="inlineStr"/>
    </row>
    <row r="143">
      <c r="A143" s="13" t="n"/>
      <c r="B143" s="13" t="n"/>
      <c r="C143" s="13" t="inlineStr">
        <is>
          <t>动态调整与风险应对</t>
        </is>
      </c>
      <c r="D143" s="10" t="inlineStr">
        <is>
          <t>风险评估与应对策略</t>
        </is>
      </c>
      <c r="E143" s="14" t="n">
        <v>20</v>
      </c>
      <c r="F143" s="14" t="n">
        <v>0</v>
      </c>
      <c r="G143" s="14" t="n">
        <v>20</v>
      </c>
      <c r="H143" s="10" t="inlineStr">
        <is>
          <t>扣20分。作业完全未识别职业路径中的任何潜在风险，未给出风险评估周期、应对策略或备选职业方案，缺乏弹性与前瞻性。</t>
        </is>
      </c>
      <c r="I143" s="10" t="inlineStr"/>
    </row>
    <row r="144">
      <c r="A144" s="13" t="inlineStr">
        <is>
          <t>202502210078</t>
        </is>
      </c>
      <c r="B144" s="13" t="inlineStr">
        <is>
          <t>赵晓彤</t>
        </is>
      </c>
      <c r="C144" s="13" t="inlineStr">
        <is>
          <t>职业缘起与认知</t>
        </is>
      </c>
      <c r="D144" s="10" t="inlineStr">
        <is>
          <t>职业缘起</t>
        </is>
      </c>
      <c r="E144" s="14" t="n">
        <v>31</v>
      </c>
      <c r="F144" s="14" t="n">
        <v>12</v>
      </c>
      <c r="G144" s="14" t="n">
        <v>19</v>
      </c>
      <c r="H144" s="10" t="inlineStr">
        <is>
          <t>扣19分。作业仅提及“渴望进入物联网行业”，但未具体说明该职业兴趣或目标的来源，如家庭环境、重大事件、过往经历、榜样力量等。叙述缺乏真实具体的个人故事或事件支撑，不符合评分细则要求。</t>
        </is>
      </c>
      <c r="I144" s="10" t="inlineStr"/>
    </row>
    <row r="145">
      <c r="A145" s="13" t="inlineStr">
        <is>
          <t>202502210078</t>
        </is>
      </c>
      <c r="B145" s="13" t="inlineStr">
        <is>
          <t>赵晓彤</t>
        </is>
      </c>
      <c r="C145" s="13" t="inlineStr">
        <is>
          <t>职业缘起与认知</t>
        </is>
      </c>
      <c r="D145" s="10" t="inlineStr">
        <is>
          <t>自我特征</t>
        </is>
      </c>
      <c r="E145" s="14" t="n">
        <v>8</v>
      </c>
      <c r="F145" s="14" t="n">
        <v>4</v>
      </c>
      <c r="G145" s="14" t="n">
        <v>4</v>
      </c>
      <c r="H145" s="10" t="inlineStr">
        <is>
          <t>扣4分。作业提供了MBTI测试结果和个人能力盘点，但未结合360°评价等其他方式。关键能力/性格特征（如ESFP型人格、善于沟通）的结论与后续目标岗位（物联网集成工程师）所需的“逻辑分析”、“快速决策”、“硬件知识”等能力的一致性论证不足，关联性较弱。</t>
        </is>
      </c>
      <c r="I145" s="10" t="inlineStr"/>
    </row>
    <row r="146">
      <c r="A146" s="13" t="inlineStr">
        <is>
          <t>202502210078</t>
        </is>
      </c>
      <c r="B146" s="13" t="inlineStr">
        <is>
          <t>赵晓彤</t>
        </is>
      </c>
      <c r="C146" s="13" t="inlineStr">
        <is>
          <t>职业缘起与认知</t>
        </is>
      </c>
      <c r="D146" s="10" t="inlineStr">
        <is>
          <t>行业认知</t>
        </is>
      </c>
      <c r="E146" s="14" t="n">
        <v>7</v>
      </c>
      <c r="F146" s="14" t="n">
        <v>5</v>
      </c>
      <c r="G146" s="14" t="n">
        <v>2</v>
      </c>
      <c r="H146" s="10" t="inlineStr">
        <is>
          <t>扣2分。作业基于国家政策、市场规模、增速等信息对物联网行业现状与趋势进行了分析，信息较为可靠。但分析深度不足，例如未具体展开分析不同细分领域（工业、家居、医疗）的趋势差异或技术挑战，也未引用具体的行业研报或人物访谈作为支撑。</t>
        </is>
      </c>
      <c r="I146" s="10" t="inlineStr"/>
    </row>
    <row r="147">
      <c r="A147" s="13" t="inlineStr">
        <is>
          <t>202502210078</t>
        </is>
      </c>
      <c r="B147" s="13" t="inlineStr">
        <is>
          <t>赵晓彤</t>
        </is>
      </c>
      <c r="C147" s="13" t="inlineStr">
        <is>
          <t>职业缘起与认知</t>
        </is>
      </c>
      <c r="D147" s="10" t="inlineStr">
        <is>
          <t>职业认知</t>
        </is>
      </c>
      <c r="E147" s="14" t="n">
        <v>7</v>
      </c>
      <c r="F147" s="14" t="n">
        <v>5</v>
      </c>
      <c r="G147" s="14" t="n">
        <v>2</v>
      </c>
      <c r="H147" s="10" t="inlineStr">
        <is>
          <t>扣2分。作业分析了物联网集成工程师的岗位职责、招聘需求（技能要求）及自身差距，体现了对职业素养的理解。但对人才供需状况、更宏观的职业路径（如从工程师到架构师、管理岗等）的理解和阐述较为简略，深度有待加强。</t>
        </is>
      </c>
      <c r="I147" s="10" t="inlineStr"/>
    </row>
    <row r="148">
      <c r="A148" s="13" t="inlineStr">
        <is>
          <t>202502210078</t>
        </is>
      </c>
      <c r="B148" s="13" t="inlineStr">
        <is>
          <t>赵晓彤</t>
        </is>
      </c>
      <c r="C148" s="13" t="inlineStr">
        <is>
          <t>职业目标与能力基础</t>
        </is>
      </c>
      <c r="D148" s="10" t="inlineStr">
        <is>
          <t>学校与专业背景</t>
        </is>
      </c>
      <c r="E148" s="14" t="n">
        <v>5</v>
      </c>
      <c r="F148" s="14" t="n">
        <v>3</v>
      </c>
      <c r="G148" s="14" t="n">
        <v>2</v>
      </c>
      <c r="H148" s="10" t="inlineStr">
        <is>
          <t>扣2分。作业未提及所学专业及学校育人特色，因此无法判断其介绍是否准确以及与物联网集成工程师职业目标的相关性。此部分内容完全缺失。</t>
        </is>
      </c>
      <c r="I148" s="10" t="inlineStr"/>
    </row>
    <row r="149">
      <c r="A149" s="13" t="inlineStr">
        <is>
          <t>202502210078</t>
        </is>
      </c>
      <c r="B149" s="13" t="inlineStr">
        <is>
          <t>赵晓彤</t>
        </is>
      </c>
      <c r="C149" s="13" t="inlineStr">
        <is>
          <t>职业目标与能力基础</t>
        </is>
      </c>
      <c r="D149" s="10" t="inlineStr">
        <is>
          <t>专业能力</t>
        </is>
      </c>
      <c r="E149" s="14" t="n">
        <v>8</v>
      </c>
      <c r="F149" s="14" t="n">
        <v>5</v>
      </c>
      <c r="G149" s="14" t="n">
        <v>3</v>
      </c>
      <c r="H149" s="10" t="inlineStr">
        <is>
          <t>扣3分。作业列举了办公软件技能，并说明了与目标岗位（文档编写等）的匹配性。但未提及任何与专业直接相关的成绩、科研成果、奖学金、关键课程（如计算机网络、嵌入式系统等）或专业证书，这部分支撑材料缺失，匹配性论证不充分。</t>
        </is>
      </c>
      <c r="I149" s="10" t="inlineStr"/>
    </row>
    <row r="150">
      <c r="A150" s="13" t="inlineStr">
        <is>
          <t>202502210078</t>
        </is>
      </c>
      <c r="B150" s="13" t="inlineStr">
        <is>
          <t>赵晓彤</t>
        </is>
      </c>
      <c r="C150" s="13" t="inlineStr">
        <is>
          <t>职业目标与能力基础</t>
        </is>
      </c>
      <c r="D150" s="10" t="inlineStr">
        <is>
          <t>综合能力</t>
        </is>
      </c>
      <c r="E150" s="14" t="n">
        <v>6</v>
      </c>
      <c r="F150" s="14" t="n">
        <v>4</v>
      </c>
      <c r="G150" s="14" t="n">
        <v>2</v>
      </c>
      <c r="H150" s="10" t="inlineStr">
        <is>
          <t>扣2分。作业提到了沟通、抗压能力，但未提供任何具体的竞赛、学生工作或任职经历作为例证。因此，无法有效评估这些综合能力是否以及如何支撑职业发展。</t>
        </is>
      </c>
      <c r="I150" s="10" t="inlineStr"/>
    </row>
    <row r="151">
      <c r="A151" s="13" t="inlineStr">
        <is>
          <t>202502210078</t>
        </is>
      </c>
      <c r="B151" s="13" t="inlineStr">
        <is>
          <t>赵晓彤</t>
        </is>
      </c>
      <c r="C151" s="13" t="inlineStr">
        <is>
          <t>职业目标与能力基础</t>
        </is>
      </c>
      <c r="D151" s="10" t="inlineStr">
        <is>
          <t>实践能力</t>
        </is>
      </c>
      <c r="E151" s="14" t="n">
        <v>6</v>
      </c>
      <c r="F151" s="14" t="n">
        <v>3</v>
      </c>
      <c r="G151" s="14" t="n">
        <v>3</v>
      </c>
      <c r="H151" s="10" t="inlineStr">
        <is>
          <t>扣3分。作业在“发展路径规划”中提到了实习和项目作品的设想，但未陈述任何已完成的校园活动、社会实践或实习经历，因此无法评估其是否已形成可迁移的能力与成果。此部分基于现状的描述缺失。</t>
        </is>
      </c>
      <c r="I151" s="10" t="inlineStr"/>
    </row>
    <row r="152">
      <c r="A152" s="13" t="inlineStr">
        <is>
          <t>202502210078</t>
        </is>
      </c>
      <c r="B152" s="13" t="inlineStr">
        <is>
          <t>赵晓彤</t>
        </is>
      </c>
      <c r="C152" s="13" t="inlineStr">
        <is>
          <t>职业目标与能力基础</t>
        </is>
      </c>
      <c r="D152" s="10" t="inlineStr">
        <is>
          <t>短板提升计划</t>
        </is>
      </c>
      <c r="E152" s="14" t="n">
        <v>10</v>
      </c>
      <c r="F152" s="14" t="n">
        <v>7</v>
      </c>
      <c r="G152" s="14" t="n">
        <v>3</v>
      </c>
      <c r="H152" s="10" t="inlineStr">
        <is>
          <t>扣3分。准确识别了编程能力（Python）、项目实操经验、硬件知识等关键短板。提升对策（多加练习、尝试做项目、课下了解）方向正确，但不够具体和可落地，例如缺乏明确的学习计划、时间节点、资源渠道或衡量标准。</t>
        </is>
      </c>
      <c r="I152" s="10" t="inlineStr"/>
    </row>
    <row r="153">
      <c r="A153" s="13" t="inlineStr">
        <is>
          <t>202502210078</t>
        </is>
      </c>
      <c r="B153" s="13" t="inlineStr">
        <is>
          <t>赵晓彤</t>
        </is>
      </c>
      <c r="C153" s="13" t="inlineStr">
        <is>
          <t>职业目标与能力基础</t>
        </is>
      </c>
      <c r="D153" s="10" t="inlineStr">
        <is>
          <t>成长路径</t>
        </is>
      </c>
      <c r="E153" s="14" t="n">
        <v>15</v>
      </c>
      <c r="F153" s="14" t="n">
        <v>11</v>
      </c>
      <c r="G153" s="14" t="n">
        <v>4</v>
      </c>
      <c r="H153" s="10" t="inlineStr">
        <is>
          <t>扣4分。给出了短期（在校）、中期（0-2年）、长期（3-5年）的阶段目标与里程碑，逻辑基本连贯。但部分目标描述不够具体和可执行，例如“职场适应期”的“有一定的项目经验”较模糊；“职业发展期”的“积累一定的人脉”、“快速判断”等描述缺乏可衡量的标准。长期规划仅到3-5年，对5年以上的展望缺失。</t>
        </is>
      </c>
      <c r="I153" s="10" t="inlineStr"/>
    </row>
    <row r="154">
      <c r="A154" s="13" t="inlineStr">
        <is>
          <t>202502210078</t>
        </is>
      </c>
      <c r="B154" s="13" t="inlineStr">
        <is>
          <t>赵晓彤</t>
        </is>
      </c>
      <c r="C154" s="13" t="inlineStr">
        <is>
          <t>动态调整与风险应对</t>
        </is>
      </c>
      <c r="D154" s="10" t="inlineStr">
        <is>
          <t>风险评估与应对策略</t>
        </is>
      </c>
      <c r="E154" s="14" t="n">
        <v>20</v>
      </c>
      <c r="F154" s="14" t="n">
        <v>3</v>
      </c>
      <c r="G154" s="14" t="n">
        <v>17</v>
      </c>
      <c r="H154" s="10" t="inlineStr">
        <is>
          <t>扣17分。作业完全未识别职业路径中的任何潜在风险（如技术迭代风险、行业竞争风险、个人发展瓶颈等），也未给出任何风险评估周期、应对策略或备选职业方案。此部分内容不符合评分细则的基本要求。</t>
        </is>
      </c>
      <c r="I154" s="10" t="inlineStr"/>
    </row>
    <row r="155">
      <c r="A155" s="13" t="inlineStr">
        <is>
          <t>20250221099</t>
        </is>
      </c>
      <c r="B155" s="13" t="inlineStr">
        <is>
          <t>薛慧珊</t>
        </is>
      </c>
      <c r="C155" s="13" t="inlineStr">
        <is>
          <t>职业缘起与认知</t>
        </is>
      </c>
      <c r="D155" s="10" t="inlineStr">
        <is>
          <t>职业缘起</t>
        </is>
      </c>
      <c r="E155" s="14" t="n">
        <v>31</v>
      </c>
      <c r="F155" s="14" t="n">
        <v>0</v>
      </c>
      <c r="G155" s="14" t="n">
        <v>31</v>
      </c>
      <c r="H155" s="10" t="inlineStr">
        <is>
          <t>未说明职业兴趣或目标的任何具体来源，如家庭环境、重大事件、过往经历、榜样力量等。内容完全缺失，不符合评分要求。</t>
        </is>
      </c>
      <c r="I155" s="10" t="inlineStr"/>
    </row>
    <row r="156">
      <c r="A156" s="13" t="inlineStr">
        <is>
          <t>20250221099</t>
        </is>
      </c>
      <c r="B156" s="13" t="inlineStr">
        <is>
          <t>薛慧珊</t>
        </is>
      </c>
      <c r="C156" s="13" t="inlineStr">
        <is>
          <t>职业缘起与认知</t>
        </is>
      </c>
      <c r="D156" s="10" t="inlineStr">
        <is>
          <t>自我特征</t>
        </is>
      </c>
      <c r="E156" s="14" t="n">
        <v>8</v>
      </c>
      <c r="F156" s="14" t="n">
        <v>6</v>
      </c>
      <c r="G156" s="14" t="n">
        <v>2</v>
      </c>
      <c r="H156" s="10" t="inlineStr">
        <is>
          <t>给出了个人性格测试结果、能力优势与劣势，内容较为具体。但未结合360°评价等，且结论（如缺乏演讲能力）与后续健康管理师目标岗位的关联性未明确阐述，扣2分。</t>
        </is>
      </c>
      <c r="I156" s="10" t="inlineStr"/>
    </row>
    <row r="157">
      <c r="A157" s="13" t="inlineStr">
        <is>
          <t>20250221099</t>
        </is>
      </c>
      <c r="B157" s="13" t="inlineStr">
        <is>
          <t>薛慧珊</t>
        </is>
      </c>
      <c r="C157" s="13" t="inlineStr">
        <is>
          <t>职业缘起与认知</t>
        </is>
      </c>
      <c r="D157" s="10" t="inlineStr">
        <is>
          <t>行业认知</t>
        </is>
      </c>
      <c r="E157" s="14" t="n">
        <v>7</v>
      </c>
      <c r="F157" s="14" t="n">
        <v>6</v>
      </c>
      <c r="G157" s="14" t="n">
        <v>1</v>
      </c>
      <c r="H157" s="10" t="inlineStr">
        <is>
          <t>基于国家政策、行业数据对生物医药与大健康行业的现状与趋势进行了分析，信息可靠。但对行业内部结构、竞争格局等分析深度略有不足，扣1分。</t>
        </is>
      </c>
      <c r="I157" s="10" t="inlineStr"/>
    </row>
    <row r="158">
      <c r="A158" s="13" t="inlineStr">
        <is>
          <t>20250221099</t>
        </is>
      </c>
      <c r="B158" s="13" t="inlineStr">
        <is>
          <t>薛慧珊</t>
        </is>
      </c>
      <c r="C158" s="13" t="inlineStr">
        <is>
          <t>职业缘起与认知</t>
        </is>
      </c>
      <c r="D158" s="10" t="inlineStr">
        <is>
          <t>职业认知</t>
        </is>
      </c>
      <c r="E158" s="14" t="n">
        <v>7</v>
      </c>
      <c r="F158" s="14" t="n">
        <v>3</v>
      </c>
      <c r="G158" s="14" t="n">
        <v>4</v>
      </c>
      <c r="H158" s="10" t="inlineStr">
        <is>
          <t>仅罗列了健康管理师岗位的胜任力模型（企业要求），缺乏对目标职业的人才供需情况、具体岗位职责、典型招聘需求、所需职业素养的系统分析，也未体现对从初级到高级的职业发展路径的理解，扣4分。</t>
        </is>
      </c>
      <c r="I158" s="10" t="inlineStr"/>
    </row>
    <row r="159">
      <c r="A159" s="13" t="inlineStr">
        <is>
          <t>20250221099</t>
        </is>
      </c>
      <c r="B159" s="13" t="inlineStr">
        <is>
          <t>薛慧珊</t>
        </is>
      </c>
      <c r="C159" s="13" t="inlineStr">
        <is>
          <t>职业目标与能力基础</t>
        </is>
      </c>
      <c r="D159" s="10" t="inlineStr">
        <is>
          <t>学校与专业背景</t>
        </is>
      </c>
      <c r="E159" s="14" t="n">
        <v>5</v>
      </c>
      <c r="F159" s="14" t="n">
        <v>0</v>
      </c>
      <c r="G159" s="14" t="n">
        <v>5</v>
      </c>
      <c r="H159" s="10" t="inlineStr">
        <is>
          <t>全文未提及所学专业、学校育人特色，更未分析其与职业目标（健康管理师）的相关性。内容完全缺失。</t>
        </is>
      </c>
      <c r="I159" s="10" t="inlineStr"/>
    </row>
    <row r="160">
      <c r="A160" s="13" t="inlineStr">
        <is>
          <t>20250221099</t>
        </is>
      </c>
      <c r="B160" s="13" t="inlineStr">
        <is>
          <t>薛慧珊</t>
        </is>
      </c>
      <c r="C160" s="13" t="inlineStr">
        <is>
          <t>职业目标与能力基础</t>
        </is>
      </c>
      <c r="D160" s="10" t="inlineStr">
        <is>
          <t>专业能力</t>
        </is>
      </c>
      <c r="E160" s="14" t="n">
        <v>8</v>
      </c>
      <c r="F160" s="14" t="n">
        <v>1</v>
      </c>
      <c r="G160" s="14" t="n">
        <v>7</v>
      </c>
      <c r="H160" s="10" t="inlineStr">
        <is>
          <t>仅提及“搭建健康管理知识框架”的考证计划，未列举任何具体的成绩、科研成果、奖学金、证书、关键课程等，也未说明这些（缺失的）内容如何与目标岗位匹配，扣7分。</t>
        </is>
      </c>
      <c r="I160" s="10" t="inlineStr"/>
    </row>
    <row r="161">
      <c r="A161" s="13" t="inlineStr">
        <is>
          <t>20250221099</t>
        </is>
      </c>
      <c r="B161" s="13" t="inlineStr">
        <is>
          <t>薛慧珊</t>
        </is>
      </c>
      <c r="C161" s="13" t="inlineStr">
        <is>
          <t>职业目标与能力基础</t>
        </is>
      </c>
      <c r="D161" s="10" t="inlineStr">
        <is>
          <t>综合能力</t>
        </is>
      </c>
      <c r="E161" s="14" t="n">
        <v>6</v>
      </c>
      <c r="F161" s="14" t="n">
        <v>1</v>
      </c>
      <c r="G161" s="14" t="n">
        <v>5</v>
      </c>
      <c r="H161" s="10" t="inlineStr">
        <is>
          <t>仅在自我认知中列举了“团队协作能力”等优势，但未提供任何具体的竞赛、学生工作、任职经历等实例来支撑职业发展，扣5分。</t>
        </is>
      </c>
      <c r="I161" s="10" t="inlineStr"/>
    </row>
    <row r="162">
      <c r="A162" s="13" t="inlineStr">
        <is>
          <t>20250221099</t>
        </is>
      </c>
      <c r="B162" s="13" t="inlineStr">
        <is>
          <t>薛慧珊</t>
        </is>
      </c>
      <c r="C162" s="13" t="inlineStr">
        <is>
          <t>职业目标与能力基础</t>
        </is>
      </c>
      <c r="D162" s="10" t="inlineStr">
        <is>
          <t>实践能力</t>
        </is>
      </c>
      <c r="E162" s="14" t="n">
        <v>6</v>
      </c>
      <c r="F162" s="14" t="n">
        <v>1</v>
      </c>
      <c r="G162" s="14" t="n">
        <v>5</v>
      </c>
      <c r="H162" s="10" t="inlineStr">
        <is>
          <t>仅在成长路径中提及“实习/实践”的意向单位（社区卫生服务中心等），但未描述任何已完成的校园活动、社会实践或实习，也未说明形成了何种可迁移的能力与具体成果，扣5分。</t>
        </is>
      </c>
      <c r="I162" s="10" t="inlineStr"/>
    </row>
    <row r="163">
      <c r="A163" s="13" t="inlineStr">
        <is>
          <t>20250221099</t>
        </is>
      </c>
      <c r="B163" s="13" t="inlineStr">
        <is>
          <t>薛慧珊</t>
        </is>
      </c>
      <c r="C163" s="13" t="inlineStr">
        <is>
          <t>职业目标与能力基础</t>
        </is>
      </c>
      <c r="D163" s="10" t="inlineStr">
        <is>
          <t>短板提升计划</t>
        </is>
      </c>
      <c r="E163" s="14" t="n">
        <v>10</v>
      </c>
      <c r="F163" s="14" t="n">
        <v>2</v>
      </c>
      <c r="G163" s="14" t="n">
        <v>8</v>
      </c>
      <c r="H163" s="10" t="inlineStr">
        <is>
          <t>识别了“演讲能力”为关键短板，但提升目标（如达到何种水平）不明确，对策（如何提升）仅停留在“识别”层面，缺乏可落地的具体措施（如参加培训、刻意练习等），扣8分。</t>
        </is>
      </c>
      <c r="I163" s="10" t="inlineStr"/>
    </row>
    <row r="164">
      <c r="A164" s="13" t="inlineStr">
        <is>
          <t>20250221099</t>
        </is>
      </c>
      <c r="B164" s="13" t="inlineStr">
        <is>
          <t>薛慧珊</t>
        </is>
      </c>
      <c r="C164" s="13" t="inlineStr">
        <is>
          <t>职业目标与能力基础</t>
        </is>
      </c>
      <c r="D164" s="10" t="inlineStr">
        <is>
          <t>成长路径</t>
        </is>
      </c>
      <c r="E164" s="14" t="n">
        <v>15</v>
      </c>
      <c r="F164" s="14" t="n">
        <v>7</v>
      </c>
      <c r="G164" s="14" t="n">
        <v>8</v>
      </c>
      <c r="H164" s="10" t="inlineStr">
        <is>
          <t>给出了短期、中期、长期的阶段划分。短期目标（考证、实习）相对具体；中期目标（薪资、业务）尚可；长期目标（晋升、核心竞争力）描述宏观但缺乏具体里程碑。整体逻辑基本连贯，但各阶段目标的达成路径、衡量标准不够清晰具体，可执行性一般，扣8分。</t>
        </is>
      </c>
      <c r="I164" s="10" t="inlineStr"/>
    </row>
    <row r="165">
      <c r="A165" s="13" t="inlineStr">
        <is>
          <t>20250221099</t>
        </is>
      </c>
      <c r="B165" s="13" t="inlineStr">
        <is>
          <t>薛慧珊</t>
        </is>
      </c>
      <c r="C165" s="13" t="inlineStr">
        <is>
          <t>动态调整与风险应对</t>
        </is>
      </c>
      <c r="D165" s="10" t="inlineStr">
        <is>
          <t>风险评估与应对策略</t>
        </is>
      </c>
      <c r="E165" s="14" t="n">
        <v>20</v>
      </c>
      <c r="F165" s="14" t="n">
        <v>0</v>
      </c>
      <c r="G165" s="14" t="n">
        <v>20</v>
      </c>
      <c r="H165" s="10" t="inlineStr">
        <is>
          <t>未识别职业路径中的任何风险，未给出评估周期、应对策略与备选职业方案。内容完全缺失，不符合评分要求。</t>
        </is>
      </c>
      <c r="I165" s="10" t="inlineStr"/>
    </row>
    <row r="166">
      <c r="A166" s="13" t="inlineStr">
        <is>
          <t>2025022101850</t>
        </is>
      </c>
      <c r="B166" s="13" t="inlineStr">
        <is>
          <t>莫梓晴</t>
        </is>
      </c>
      <c r="C166" s="13" t="inlineStr">
        <is>
          <t>职业缘起与认知</t>
        </is>
      </c>
      <c r="D166" s="10" t="inlineStr">
        <is>
          <t>职业缘起</t>
        </is>
      </c>
      <c r="E166" s="14" t="n">
        <v>31</v>
      </c>
      <c r="F166" s="14" t="n">
        <v>28</v>
      </c>
      <c r="G166" s="14" t="n">
        <v>3</v>
      </c>
      <c r="H166" s="10" t="inlineStr">
        <is>
          <t>职业兴趣来源主要基于霍兰德职业测试结果（RCA型人格）进行阐述，并结合课程实验、个人偏好等具体经历说明，内容真实具体。但未提及家庭环境、重大事件、榜样力量等其他可能的来源，叙述维度略显单一。</t>
        </is>
      </c>
      <c r="I166" s="10" t="inlineStr"/>
    </row>
    <row r="167">
      <c r="A167" s="13" t="inlineStr">
        <is>
          <t>2025022101850</t>
        </is>
      </c>
      <c r="B167" s="13" t="inlineStr">
        <is>
          <t>莫梓晴</t>
        </is>
      </c>
      <c r="C167" s="13" t="inlineStr">
        <is>
          <t>职业缘起与认知</t>
        </is>
      </c>
      <c r="D167" s="10" t="inlineStr">
        <is>
          <t>自我特征</t>
        </is>
      </c>
      <c r="E167" s="14" t="n">
        <v>8</v>
      </c>
      <c r="F167" s="14" t="n">
        <v>7.5</v>
      </c>
      <c r="G167" s="14" t="n">
        <v>0.5</v>
      </c>
      <c r="H167" s="10" t="inlineStr">
        <is>
          <t>通过霍兰德测试和SWOT分析，给出了详细的个人能力与性格特征描述，结论（如RCA型人格适合工业4.0）与后续职业目标高度一致。但未提及360°评价等其他评价方式，个人简介部分融合在整体分析中，未单独明确列出。</t>
        </is>
      </c>
      <c r="I167" s="10" t="inlineStr"/>
    </row>
    <row r="168">
      <c r="A168" s="13" t="inlineStr">
        <is>
          <t>2025022101850</t>
        </is>
      </c>
      <c r="B168" s="13" t="inlineStr">
        <is>
          <t>莫梓晴</t>
        </is>
      </c>
      <c r="C168" s="13" t="inlineStr">
        <is>
          <t>职业缘起与认知</t>
        </is>
      </c>
      <c r="D168" s="10" t="inlineStr">
        <is>
          <t>行业认知</t>
        </is>
      </c>
      <c r="E168" s="14" t="n">
        <v>7</v>
      </c>
      <c r="F168" s="14" t="n">
        <v>4.5</v>
      </c>
      <c r="G168" s="14" t="n">
        <v>2.5</v>
      </c>
      <c r="H168" s="10" t="inlineStr">
        <is>
          <t>分析了工业4.0（智能制造）行业的政策背景（如“中国制造2025”）、经济环境和行业特性，信息基本可靠。但分析主要基于宏观趋势和个人理解，缺乏对行业研报、具体数据、人物访谈等更深入信息源的引用和分析，深度有待加强。</t>
        </is>
      </c>
      <c r="I168" s="10" t="inlineStr"/>
    </row>
    <row r="169">
      <c r="A169" s="13" t="inlineStr">
        <is>
          <t>2025022101850</t>
        </is>
      </c>
      <c r="B169" s="13" t="inlineStr">
        <is>
          <t>莫梓晴</t>
        </is>
      </c>
      <c r="C169" s="13" t="inlineStr">
        <is>
          <t>职业缘起与认知</t>
        </is>
      </c>
      <c r="D169" s="10" t="inlineStr">
        <is>
          <t>职业认知</t>
        </is>
      </c>
      <c r="E169" s="14" t="n">
        <v>7</v>
      </c>
      <c r="F169" s="14" t="n">
        <v>5</v>
      </c>
      <c r="G169" s="14" t="n">
        <v>2</v>
      </c>
      <c r="H169" s="10" t="inlineStr">
        <is>
          <t>通过“岗位胜任力模型”详细分析了工业4.0工程师的岗位职责、技能要求（编程、核心技术、软技能等）和资质经验要求，体现了对职业路径的理解。但对人才供需状况、具体招聘需求（如地域、企业类型差异）的分析较为笼统，职业素养分析可更深入。</t>
        </is>
      </c>
      <c r="I169" s="10" t="inlineStr"/>
    </row>
    <row r="170">
      <c r="A170" s="13" t="inlineStr">
        <is>
          <t>2025022101850</t>
        </is>
      </c>
      <c r="B170" s="13" t="inlineStr">
        <is>
          <t>莫梓晴</t>
        </is>
      </c>
      <c r="C170" s="13" t="inlineStr">
        <is>
          <t>职业目标与能力基础</t>
        </is>
      </c>
      <c r="D170" s="10" t="inlineStr">
        <is>
          <t>学校与专业背景</t>
        </is>
      </c>
      <c r="E170" s="14" t="n">
        <v>5</v>
      </c>
      <c r="F170" s="14" t="n">
        <v>3</v>
      </c>
      <c r="G170" s="14" t="n">
        <v>2</v>
      </c>
      <c r="H170" s="10" t="inlineStr">
        <is>
          <t>全文未对所学专业名称、学校育人特色进行明确介绍，仅通过所述技能（如C语言、PLC、SolidWorks）间接体现工科背景，与职业目标的关联性未直接、准确阐述。</t>
        </is>
      </c>
      <c r="I170" s="10" t="inlineStr"/>
    </row>
    <row r="171">
      <c r="A171" s="13" t="inlineStr">
        <is>
          <t>2025022101850</t>
        </is>
      </c>
      <c r="B171" s="13" t="inlineStr">
        <is>
          <t>莫梓晴</t>
        </is>
      </c>
      <c r="C171" s="13" t="inlineStr">
        <is>
          <t>职业目标与能力基础</t>
        </is>
      </c>
      <c r="D171" s="10" t="inlineStr">
        <is>
          <t>专业能力</t>
        </is>
      </c>
      <c r="E171" s="14" t="n">
        <v>8</v>
      </c>
      <c r="F171" s="14" t="n">
        <v>6.5</v>
      </c>
      <c r="G171" s="14" t="n">
        <v>1.5</v>
      </c>
      <c r="H171" s="10" t="inlineStr">
        <is>
          <t>列举了C语言、PLC、机械设计软件、传感器等硬技能，并说明了与目标岗位的匹配性及当前差距（如缺乏Java）。但未提及具体的课程成绩、科研成果、奖学金等信息作为支撑，匹配性分析更多基于技能列表而非成果证明。</t>
        </is>
      </c>
      <c r="I171" s="10" t="inlineStr"/>
    </row>
    <row r="172">
      <c r="A172" s="13" t="inlineStr">
        <is>
          <t>2025022101850</t>
        </is>
      </c>
      <c r="B172" s="13" t="inlineStr">
        <is>
          <t>莫梓晴</t>
        </is>
      </c>
      <c r="C172" s="13" t="inlineStr">
        <is>
          <t>职业目标与能力基础</t>
        </is>
      </c>
      <c r="D172" s="10" t="inlineStr">
        <is>
          <t>综合能力</t>
        </is>
      </c>
      <c r="E172" s="14" t="n">
        <v>6</v>
      </c>
      <c r="F172" s="14" t="n">
        <v>4</v>
      </c>
      <c r="G172" s="14" t="n">
        <v>2</v>
      </c>
      <c r="H172" s="10" t="inlineStr">
        <is>
          <t>提到了计划参与“互联网+”、智能制造大赛等竞赛，以及参与科研项目，这些能部分支撑职业发展。但未提及任何现有的学生工作、任职经历等综合能力实践，支撑力主要依靠未来计划，当前基础体现不足。</t>
        </is>
      </c>
      <c r="I172" s="10" t="inlineStr"/>
    </row>
    <row r="173">
      <c r="A173" s="13" t="inlineStr">
        <is>
          <t>2025022101850</t>
        </is>
      </c>
      <c r="B173" s="13" t="inlineStr">
        <is>
          <t>莫梓晴</t>
        </is>
      </c>
      <c r="C173" s="13" t="inlineStr">
        <is>
          <t>职业目标与能力基础</t>
        </is>
      </c>
      <c r="D173" s="10" t="inlineStr">
        <is>
          <t>实践能力</t>
        </is>
      </c>
      <c r="E173" s="14" t="n">
        <v>6</v>
      </c>
      <c r="F173" s="14" t="n">
        <v>4.5</v>
      </c>
      <c r="G173" s="14" t="n">
        <v>1.5</v>
      </c>
      <c r="H173" s="10" t="inlineStr">
        <is>
          <t>提及了课程实验、校园工业自动化实训经历，并分析了形成的动手能力、细节把控力等可迁移能力。但社会实践、实习经历目前缺失（仅作为未来计划），现有实践成果和形成的具体能力成果描述可更具体。</t>
        </is>
      </c>
      <c r="I173" s="10" t="inlineStr"/>
    </row>
    <row r="174">
      <c r="A174" s="13" t="inlineStr">
        <is>
          <t>2025022101850</t>
        </is>
      </c>
      <c r="B174" s="13" t="inlineStr">
        <is>
          <t>莫梓晴</t>
        </is>
      </c>
      <c r="C174" s="13" t="inlineStr">
        <is>
          <t>职业目标与能力基础</t>
        </is>
      </c>
      <c r="D174" s="10" t="inlineStr">
        <is>
          <t>短板提升计划</t>
        </is>
      </c>
      <c r="E174" s="14" t="n">
        <v>10</v>
      </c>
      <c r="F174" s="14" t="n">
        <v>9</v>
      </c>
      <c r="G174" s="14" t="n">
        <v>1</v>
      </c>
      <c r="H174" s="10" t="inlineStr">
        <is>
          <t>准确识别了Java能力缺口、核心技术短板、实战经验不足等关键短板。提升目标明确（如攻克Java），对策具体可落地，分阶段（在校、职场）制定了详细的学习、考证、实习计划，可执行性强。对部分软实力短板（如沟通）的提升计划相对笼统。</t>
        </is>
      </c>
      <c r="I174" s="10" t="inlineStr"/>
    </row>
    <row r="175">
      <c r="A175" s="13" t="inlineStr">
        <is>
          <t>2025022101850</t>
        </is>
      </c>
      <c r="B175" s="13" t="inlineStr">
        <is>
          <t>莫梓晴</t>
        </is>
      </c>
      <c r="C175" s="13" t="inlineStr">
        <is>
          <t>职业目标与能力基础</t>
        </is>
      </c>
      <c r="D175" s="10" t="inlineStr">
        <is>
          <t>成长路径</t>
        </is>
      </c>
      <c r="E175" s="14" t="n">
        <v>15</v>
      </c>
      <c r="F175" s="14" t="n">
        <v>13</v>
      </c>
      <c r="G175" s="14" t="n">
        <v>2</v>
      </c>
      <c r="H175" s="10" t="inlineStr">
        <is>
          <t>分短期（在校）、中期（0-2年）、长期（3-5年）设定了清晰的阶段目标、业务目标、薪资目标和核心任务，逻辑连贯。每个阶段围绕核心差距（Java）制定深化计划，可执行性高。长期目标中的“行业影响力”等部分略显宏观。</t>
        </is>
      </c>
      <c r="I175" s="10" t="inlineStr"/>
    </row>
    <row r="176">
      <c r="A176" s="13" t="inlineStr">
        <is>
          <t>2025022101850</t>
        </is>
      </c>
      <c r="B176" s="13" t="inlineStr">
        <is>
          <t>莫梓晴</t>
        </is>
      </c>
      <c r="C176" s="13" t="inlineStr">
        <is>
          <t>动态调整与风险应对</t>
        </is>
      </c>
      <c r="D176" s="10" t="inlineStr">
        <is>
          <t>风险评估与应对策略</t>
        </is>
      </c>
      <c r="E176" s="14" t="n">
        <v>20</v>
      </c>
      <c r="F176" s="14" t="n">
        <v>14</v>
      </c>
      <c r="G176" s="14" t="n">
        <v>6</v>
      </c>
      <c r="H176" s="10" t="inlineStr">
        <is>
          <t>在能力差距分析中隐含了“技能不达标”的风险，并在成长路径中通过学习和实践进行应对。但未系统识别职业路径中可能的技术迭代风险、行业波动风险、就业竞争风险等。未给出明确的评估周期，应对策略分散在规划中未单独成章，缺乏备选职业方案的考虑。</t>
        </is>
      </c>
      <c r="I176" s="10" t="inlineStr"/>
    </row>
    <row r="177">
      <c r="A177" s="13" t="inlineStr">
        <is>
          <t>20250220105</t>
        </is>
      </c>
      <c r="B177" s="13" t="inlineStr">
        <is>
          <t>物联网工程梁欣然</t>
        </is>
      </c>
      <c r="C177" s="13" t="inlineStr">
        <is>
          <t>职业缘起与认知</t>
        </is>
      </c>
      <c r="D177" s="10" t="inlineStr">
        <is>
          <t>职业缘起</t>
        </is>
      </c>
      <c r="E177" s="14" t="n">
        <v>31</v>
      </c>
      <c r="F177" s="14" t="n">
        <v>0</v>
      </c>
      <c r="G177" s="14" t="n">
        <v>31</v>
      </c>
      <c r="H177" s="10" t="inlineStr">
        <is>
          <t>作业正文未说明职业兴趣或目标的来源，如家庭环境、重大事件、过往经历、榜样力量等，完全缺失此项内容，故不得分。</t>
        </is>
      </c>
      <c r="I177" s="10" t="inlineStr"/>
    </row>
    <row r="178">
      <c r="A178" s="13" t="inlineStr">
        <is>
          <t>20250220105</t>
        </is>
      </c>
      <c r="B178" s="13" t="inlineStr">
        <is>
          <t>物联网工程梁欣然</t>
        </is>
      </c>
      <c r="C178" s="13" t="inlineStr">
        <is>
          <t>职业缘起与认知</t>
        </is>
      </c>
      <c r="D178" s="10" t="inlineStr">
        <is>
          <t>自我特征</t>
        </is>
      </c>
      <c r="E178" s="14" t="n">
        <v>8</v>
      </c>
      <c r="F178" s="14" t="n">
        <v>7.5</v>
      </c>
      <c r="G178" s="14" t="n">
        <v>0.5</v>
      </c>
      <c r="H178" s="10" t="inlineStr">
        <is>
          <t>给出了基于MBTI测试的个人性格特征分析，并结合职场优劣势进行了详细阐述，结论与后续物联网行业目标基本一致。扣0.5分因未提及个人简介及360°评价等其他方式。</t>
        </is>
      </c>
      <c r="I178" s="10" t="inlineStr"/>
    </row>
    <row r="179">
      <c r="A179" s="13" t="inlineStr">
        <is>
          <t>20250220105</t>
        </is>
      </c>
      <c r="B179" s="13" t="inlineStr">
        <is>
          <t>物联网工程梁欣然</t>
        </is>
      </c>
      <c r="C179" s="13" t="inlineStr">
        <is>
          <t>职业缘起与认知</t>
        </is>
      </c>
      <c r="D179" s="10" t="inlineStr">
        <is>
          <t>行业认知</t>
        </is>
      </c>
      <c r="E179" s="14" t="n">
        <v>7</v>
      </c>
      <c r="F179" s="14" t="n">
        <v>5</v>
      </c>
      <c r="G179" s="14" t="n">
        <v>2</v>
      </c>
      <c r="H179" s="10" t="inlineStr">
        <is>
          <t>基于国家政策、产业基础等对物联网行业现状与趋势进行了分析，信息较为可靠。扣2分在于分析深度不足，例如对‘万物智联’、AI融合等趋势的阐述较为笼统，未引用具体行业研报或人物访谈作为支撑。</t>
        </is>
      </c>
      <c r="I179" s="10" t="inlineStr"/>
    </row>
    <row r="180">
      <c r="A180" s="13" t="inlineStr">
        <is>
          <t>20250220105</t>
        </is>
      </c>
      <c r="B180" s="13" t="inlineStr">
        <is>
          <t>物联网工程梁欣然</t>
        </is>
      </c>
      <c r="C180" s="13" t="inlineStr">
        <is>
          <t>职业缘起与认知</t>
        </is>
      </c>
      <c r="D180" s="10" t="inlineStr">
        <is>
          <t>职业认知</t>
        </is>
      </c>
      <c r="E180" s="14" t="n">
        <v>7</v>
      </c>
      <c r="F180" s="14" t="n">
        <v>5</v>
      </c>
      <c r="G180" s="14" t="n">
        <v>2</v>
      </c>
      <c r="H180" s="10" t="inlineStr">
        <is>
          <t>分析了物联网解决方案工程师等目标岗位的职责、能力要求及职业路径，体现了理解。扣2分在于对人才供需、具体招聘需求（如学历、技能要求）的分析不够具体和深入，缺乏数据或实例支撑。</t>
        </is>
      </c>
      <c r="I180" s="10" t="inlineStr"/>
    </row>
    <row r="181">
      <c r="A181" s="13" t="inlineStr">
        <is>
          <t>20250220105</t>
        </is>
      </c>
      <c r="B181" s="13" t="inlineStr">
        <is>
          <t>物联网工程梁欣然</t>
        </is>
      </c>
      <c r="C181" s="13" t="inlineStr">
        <is>
          <t>职业目标与能力基础</t>
        </is>
      </c>
      <c r="D181" s="10" t="inlineStr">
        <is>
          <t>学校与专业背景</t>
        </is>
      </c>
      <c r="E181" s="14" t="n">
        <v>5</v>
      </c>
      <c r="F181" s="14" t="n">
        <v>0</v>
      </c>
      <c r="G181" s="14" t="n">
        <v>5</v>
      </c>
      <c r="H181" s="10" t="inlineStr">
        <is>
          <t>作业正文完全未提及所学专业、学校育人特色及其与物联网职业目标的相关性，此项内容缺失，故不得分。</t>
        </is>
      </c>
      <c r="I181" s="10" t="inlineStr"/>
    </row>
    <row r="182">
      <c r="A182" s="13" t="inlineStr">
        <is>
          <t>20250220105</t>
        </is>
      </c>
      <c r="B182" s="13" t="inlineStr">
        <is>
          <t>物联网工程梁欣然</t>
        </is>
      </c>
      <c r="C182" s="13" t="inlineStr">
        <is>
          <t>职业目标与能力基础</t>
        </is>
      </c>
      <c r="D182" s="10" t="inlineStr">
        <is>
          <t>专业能力</t>
        </is>
      </c>
      <c r="E182" s="14" t="n">
        <v>8</v>
      </c>
      <c r="F182" s="14" t="n">
        <v>2</v>
      </c>
      <c r="G182" s="14" t="n">
        <v>6</v>
      </c>
      <c r="H182" s="10" t="inlineStr">
        <is>
          <t>仅提及计划考取华为HCIA/HCIP/HCIE等证书及英语四六级，但未列举当前已有的成绩、科研成果、奖学金或关键课程等具体专业能力，也未充分说明这些计划与目标岗位的匹配性。扣6分。</t>
        </is>
      </c>
      <c r="I182" s="10" t="inlineStr"/>
    </row>
    <row r="183">
      <c r="A183" s="13" t="inlineStr">
        <is>
          <t>20250220105</t>
        </is>
      </c>
      <c r="B183" s="13" t="inlineStr">
        <is>
          <t>物联网工程梁欣然</t>
        </is>
      </c>
      <c r="C183" s="13" t="inlineStr">
        <is>
          <t>职业目标与能力基础</t>
        </is>
      </c>
      <c r="D183" s="10" t="inlineStr">
        <is>
          <t>综合能力</t>
        </is>
      </c>
      <c r="E183" s="14" t="n">
        <v>6</v>
      </c>
      <c r="F183" s="14" t="n">
        <v>2</v>
      </c>
      <c r="G183" s="14" t="n">
        <v>4</v>
      </c>
      <c r="H183" s="10" t="inlineStr">
        <is>
          <t>提及关注竞赛、计划参与项目，但未列举已有的竞赛、学生工作、任职经历等具体综合能力实例，无法评估其对职业发展的支撑作用。扣4分。</t>
        </is>
      </c>
      <c r="I183" s="10" t="inlineStr"/>
    </row>
    <row r="184">
      <c r="A184" s="13" t="inlineStr">
        <is>
          <t>20250220105</t>
        </is>
      </c>
      <c r="B184" s="13" t="inlineStr">
        <is>
          <t>物联网工程梁欣然</t>
        </is>
      </c>
      <c r="C184" s="13" t="inlineStr">
        <is>
          <t>职业目标与能力基础</t>
        </is>
      </c>
      <c r="D184" s="10" t="inlineStr">
        <is>
          <t>实践能力</t>
        </is>
      </c>
      <c r="E184" s="14" t="n">
        <v>6</v>
      </c>
      <c r="F184" s="14" t="n">
        <v>3</v>
      </c>
      <c r="G184" s="14" t="n">
        <v>3</v>
      </c>
      <c r="H184" s="10" t="inlineStr">
        <is>
          <t>规划了Arduino、STM32等具体项目实践，并说明了预期形成的可迁移能力。扣3分在于未阐述已有的校园活动、社会实践或实习经历及其已形成的成果与能力。</t>
        </is>
      </c>
      <c r="I184" s="10" t="inlineStr"/>
    </row>
    <row r="185">
      <c r="A185" s="13" t="inlineStr">
        <is>
          <t>20250220105</t>
        </is>
      </c>
      <c r="B185" s="13" t="inlineStr">
        <is>
          <t>物联网工程梁欣然</t>
        </is>
      </c>
      <c r="C185" s="13" t="inlineStr">
        <is>
          <t>职业目标与能力基础</t>
        </is>
      </c>
      <c r="D185" s="10" t="inlineStr">
        <is>
          <t>短板提升计划</t>
        </is>
      </c>
      <c r="E185" s="14" t="n">
        <v>10</v>
      </c>
      <c r="F185" s="14" t="n">
        <v>8</v>
      </c>
      <c r="G185" s="14" t="n">
        <v>2</v>
      </c>
      <c r="H185" s="10" t="inlineStr">
        <is>
          <t>基于性格分析识别了追求完美、目标不坚定、畏惧新事物等关键短板，并提出了‘小步快跑’、‘决策锚点’、‘从应用反推理论’等具体、可落地的提升对策。扣2分在于部分对策（如对新事物的应对）的‘可落地’细节描述可进一步具体化。</t>
        </is>
      </c>
      <c r="I185" s="10" t="inlineStr"/>
    </row>
    <row r="186">
      <c r="A186" s="13" t="inlineStr">
        <is>
          <t>20250220105</t>
        </is>
      </c>
      <c r="B186" s="13" t="inlineStr">
        <is>
          <t>物联网工程梁欣然</t>
        </is>
      </c>
      <c r="C186" s="13" t="inlineStr">
        <is>
          <t>职业目标与能力基础</t>
        </is>
      </c>
      <c r="D186" s="10" t="inlineStr">
        <is>
          <t>成长路径</t>
        </is>
      </c>
      <c r="E186" s="14" t="n">
        <v>15</v>
      </c>
      <c r="F186" s="14" t="n">
        <v>13</v>
      </c>
      <c r="G186" s="14" t="n">
        <v>2</v>
      </c>
      <c r="H186" s="10" t="inlineStr">
        <is>
          <t>给出了从大一至毕业3-5年非常详细、阶段明确的短期、中期、长期目标与里程碑（如考证、项目、薪资、职位），逻辑连贯，可执行性强。扣2分在于部分阶段（如职场适应期）的业务目标描述可更量化。</t>
        </is>
      </c>
      <c r="I186" s="10" t="inlineStr"/>
    </row>
    <row r="187">
      <c r="A187" s="13" t="inlineStr">
        <is>
          <t>20250220105</t>
        </is>
      </c>
      <c r="B187" s="13" t="inlineStr">
        <is>
          <t>物联网工程梁欣然</t>
        </is>
      </c>
      <c r="C187" s="13" t="inlineStr">
        <is>
          <t>动态调整与风险应对</t>
        </is>
      </c>
      <c r="D187" s="10" t="inlineStr">
        <is>
          <t>风险评估与应对策略</t>
        </is>
      </c>
      <c r="E187" s="14" t="n">
        <v>20</v>
      </c>
      <c r="F187" s="14" t="n">
        <v>5</v>
      </c>
      <c r="G187" s="14" t="n">
        <v>15</v>
      </c>
      <c r="H187" s="10" t="inlineStr">
        <is>
          <t>在性格劣势分析及路径规划中隐含了对‘计划拖延’、‘技术迭代’等风险的应对（如快速迭代、主动学习），体现了部分弹性。扣15分在于未系统识别职业路径中的主要风险（如行业波动、竞争加剧、技术淘汰），未给出明确的评估周期、系统的应对策略及备选职业方案，缺乏前瞻性的风险规划框架。</t>
        </is>
      </c>
      <c r="I187" s="10" t="inlineStr"/>
    </row>
    <row r="188">
      <c r="A188" s="13" t="inlineStr">
        <is>
          <t>202502210128</t>
        </is>
      </c>
      <c r="B188" s="13" t="inlineStr">
        <is>
          <t>冯堃梅</t>
        </is>
      </c>
      <c r="C188" s="13" t="inlineStr">
        <is>
          <t>行业与专业匹配的宏观分析</t>
        </is>
      </c>
      <c r="D188" s="10" t="inlineStr">
        <is>
          <t>行业现状梳理</t>
        </is>
      </c>
      <c r="E188" s="14" t="n">
        <v>15</v>
      </c>
      <c r="F188" s="14" t="n">
        <v>14</v>
      </c>
      <c r="G188" s="14" t="n">
        <v>1</v>
      </c>
      <c r="H188" s="10" t="inlineStr">
        <is>
          <t>对物联网和网络工程两个行业的规模、主要赛道、核心玩家及痛点均有具体说明，并引用了可信数据来源（如Business Research Insights、工信部报告）。信息梳理全面，扣1分在于对“当前痛点”的阐述相对宏观，不够具体深入。</t>
        </is>
      </c>
      <c r="I188" s="10" t="inlineStr"/>
    </row>
    <row r="189">
      <c r="A189" s="13" t="inlineStr">
        <is>
          <t>202502210128</t>
        </is>
      </c>
      <c r="B189" s="13" t="inlineStr">
        <is>
          <t>冯堃梅</t>
        </is>
      </c>
      <c r="C189" s="13" t="inlineStr">
        <is>
          <t>行业与专业匹配的宏观分析</t>
        </is>
      </c>
      <c r="D189" s="10" t="inlineStr">
        <is>
          <t>行业趋势判断</t>
        </is>
      </c>
      <c r="E189" s="14" t="n">
        <v>20</v>
      </c>
      <c r="F189" s="14" t="n">
        <v>17</v>
      </c>
      <c r="G189" s="14" t="n">
        <v>3</v>
      </c>
      <c r="H189" s="10" t="inlineStr">
        <is>
          <t>从技术（AI、卫星物联网、LPWAN）、市场（智能制造、智慧生活）、政策（“十四五”规划）等多个角度分析了未来趋势，并列举了具体案例和数据作为支撑，逻辑链条清晰。扣3分在于对“资本”和“人才”角度的趋势分析较为薄弱，缺乏具体阐述。</t>
        </is>
      </c>
      <c r="I189" s="10" t="inlineStr"/>
    </row>
    <row r="190">
      <c r="A190" s="13" t="inlineStr">
        <is>
          <t>202502210128</t>
        </is>
      </c>
      <c r="B190" s="13" t="inlineStr">
        <is>
          <t>冯堃梅</t>
        </is>
      </c>
      <c r="C190" s="13" t="inlineStr">
        <is>
          <t>AI 对行业影响的辩证分析</t>
        </is>
      </c>
      <c r="D190" s="10" t="inlineStr">
        <is>
          <t>正面影响</t>
        </is>
      </c>
      <c r="E190" s="14" t="n">
        <v>15</v>
      </c>
      <c r="F190" s="14" t="n">
        <v>14</v>
      </c>
      <c r="G190" s="14" t="n">
        <v>1</v>
      </c>
      <c r="H190" s="10" t="inlineStr">
        <is>
          <t>举出了Bentley Copilot、无人机AI巡检、生成式AI设计工具等具体场景，并明确量化了效率提升（10倍、60%）、周期缩短（从周/天到小时/天）等价值，分析合理。扣1分在于对新业务形态的探讨稍显不足。</t>
        </is>
      </c>
      <c r="I190" s="10" t="inlineStr"/>
    </row>
    <row r="191">
      <c r="A191" s="13" t="inlineStr">
        <is>
          <t>202502210128</t>
        </is>
      </c>
      <c r="B191" s="13" t="inlineStr">
        <is>
          <t>冯堃梅</t>
        </is>
      </c>
      <c r="C191" s="13" t="inlineStr">
        <is>
          <t>AI 对行业影响的辩证分析</t>
        </is>
      </c>
      <c r="D191" s="10" t="inlineStr">
        <is>
          <t>负面影响与风险</t>
        </is>
      </c>
      <c r="E191" s="14" t="n">
        <v>15</v>
      </c>
      <c r="F191" s="14" t="n">
        <v>13</v>
      </c>
      <c r="G191" s="14" t="n">
        <v>2</v>
      </c>
      <c r="H191" s="10" t="inlineStr">
        <is>
          <t>明确指出了初级岗位替代风险，并引用了麦肯锡报告数据，讨论了技术性失业问题。对伦理合规、隐私、偏见等风险的讨论相对简略。缓解建议（如掌握复合能力）具有针对性。扣2分在于对伦理、隐私等风险的讨论深度不够，缓解建议可更具体。</t>
        </is>
      </c>
      <c r="I191" s="10" t="inlineStr"/>
    </row>
    <row r="192">
      <c r="A192" s="13" t="inlineStr">
        <is>
          <t>202502210128</t>
        </is>
      </c>
      <c r="B192" s="13" t="inlineStr">
        <is>
          <t>冯堃梅</t>
        </is>
      </c>
      <c r="C192" s="13" t="inlineStr">
        <is>
          <t>岗位认知与个人职业定位</t>
        </is>
      </c>
      <c r="D192" s="10" t="inlineStr">
        <is>
          <t>岗位选择与职责理解</t>
        </is>
      </c>
      <c r="E192" s="14" t="n">
        <v>15</v>
      </c>
      <c r="F192" s="14" t="n">
        <v>14</v>
      </c>
      <c r="G192" s="14" t="n">
        <v>1</v>
      </c>
      <c r="H192" s="10" t="inlineStr">
        <is>
          <t>明确提出了网络工程师作为目标岗位，详细说明了其核心职责、能力要求（技术理论、认证、实践经验）和成长路径，并与自身专业（物联网）进行了结合。扣1分在于对“自身匹配点”的阐述可以更具体，例如如何将物联网的系统思维应用于网络工程。</t>
        </is>
      </c>
      <c r="I192" s="10" t="inlineStr"/>
    </row>
    <row r="193">
      <c r="A193" s="13" t="inlineStr">
        <is>
          <t>202502210128</t>
        </is>
      </c>
      <c r="B193" s="13" t="inlineStr">
        <is>
          <t>冯堃梅</t>
        </is>
      </c>
      <c r="C193" s="13" t="inlineStr">
        <is>
          <t>岗位认知与个人职业定位</t>
        </is>
      </c>
      <c r="D193" s="10" t="inlineStr">
        <is>
          <t>薪资与发展预期</t>
        </is>
      </c>
      <c r="E193" s="14" t="n">
        <v>10</v>
      </c>
      <c r="F193" s="14" t="n">
        <v>9</v>
      </c>
      <c r="G193" s="14" t="n">
        <v>1</v>
      </c>
      <c r="H193" s="10" t="inlineStr">
        <is>
          <t>薪资区间（一线7k-12k，二三线3k-4k）结合了地域和公司类型差异，分析合理。发展预期清晰，提出了向网络架构师、云计算工程师转型的目标，并制定了详细的技能提升计划。扣1分在于对“层级差异”（如初级、中级、高级工程师的薪资）分析不够细致。</t>
        </is>
      </c>
      <c r="I193" s="10" t="inlineStr"/>
    </row>
    <row r="194">
      <c r="A194" s="13" t="inlineStr">
        <is>
          <t>202502210128</t>
        </is>
      </c>
      <c r="B194" s="13" t="inlineStr">
        <is>
          <t>冯堃梅</t>
        </is>
      </c>
      <c r="C194" s="13" t="inlineStr">
        <is>
          <t>报告结构与表达规范</t>
        </is>
      </c>
      <c r="D194" s="10" t="inlineStr">
        <is>
          <t>结构完整性与论证</t>
        </is>
      </c>
      <c r="E194" s="14" t="n">
        <v>5</v>
      </c>
      <c r="F194" s="14" t="n">
        <v>4</v>
      </c>
      <c r="G194" s="14" t="n">
        <v>1</v>
      </c>
      <c r="H194" s="10" t="inlineStr">
        <is>
          <t>报告分为四个主要部分，标题层级清晰，段落组织基本合理，论点（如AI的影响）、论据（如案例、数据）、结论（如个人规划）形成了闭环。扣1分在于第三部分“网络工程行业”的分析与第一部分“物联网”的衔接略显突兀，整体论证的连贯性有提升空间。</t>
        </is>
      </c>
      <c r="I194" s="10" t="inlineStr"/>
    </row>
    <row r="195">
      <c r="A195" s="13" t="inlineStr">
        <is>
          <t>202502210128</t>
        </is>
      </c>
      <c r="B195" s="13" t="inlineStr">
        <is>
          <t>冯堃梅</t>
        </is>
      </c>
      <c r="C195" s="13" t="inlineStr">
        <is>
          <t>报告结构与表达规范</t>
        </is>
      </c>
      <c r="D195" s="10" t="inlineStr">
        <is>
          <t>语言表达与格式</t>
        </is>
      </c>
      <c r="E195" s="14" t="n">
        <v>5</v>
      </c>
      <c r="F195" s="14" t="n">
        <v>3</v>
      </c>
      <c r="G195" s="14" t="n">
        <v>2</v>
      </c>
      <c r="H195" s="10" t="inlineStr">
        <is>
          <t>表述基本准确流畅，术语使用恰当。但存在明显问题：1. 第二部分“行业大数据”和“行业新风口”等内容在报告中重复出现（如网络工程部分），影响了表达的简洁性；2. 根据作业正文估算，正文字数明显不足，未达到分析报告的基本篇幅要求。据此扣2分。</t>
        </is>
      </c>
      <c r="I195" s="10" t="inlineStr"/>
    </row>
    <row r="196">
      <c r="A196" s="13" t="n"/>
      <c r="B196" s="13" t="n"/>
      <c r="C196" s="13" t="inlineStr">
        <is>
          <t>行业与专业匹配的宏观分析</t>
        </is>
      </c>
      <c r="D196" s="10" t="inlineStr">
        <is>
          <t>行业现状梳理</t>
        </is>
      </c>
      <c r="E196" s="14" t="n">
        <v>15</v>
      </c>
      <c r="F196" s="14" t="n">
        <v>13</v>
      </c>
      <c r="G196" s="14" t="n">
        <v>2</v>
      </c>
      <c r="H196" s="10" t="inlineStr">
        <is>
          <t>扣2分。报告清晰说明了行业规模、主要赛道和当前痛点与机会，并引用了可信数据来源。不足之处在于对‘核心玩家/生态’的分析较为简略，仅列举了华为和西门子两家企业，未能更全面地勾勒行业生态格局。</t>
        </is>
      </c>
      <c r="I196" s="10" t="inlineStr"/>
    </row>
    <row r="197">
      <c r="A197" s="13" t="n"/>
      <c r="B197" s="13" t="n"/>
      <c r="C197" s="13" t="inlineStr">
        <is>
          <t>行业与专业匹配的宏观分析</t>
        </is>
      </c>
      <c r="D197" s="10" t="inlineStr">
        <is>
          <t>行业趋势判断</t>
        </is>
      </c>
      <c r="E197" s="14" t="n">
        <v>20</v>
      </c>
      <c r="F197" s="14" t="n">
        <v>18</v>
      </c>
      <c r="G197" s="14" t="n">
        <v>2</v>
      </c>
      <c r="H197" s="10" t="inlineStr">
        <is>
          <t>扣2分。报告从技术（AIoT）、市场（高质量增长）、政策（智能制造2025）、资本（企业研发投入）等角度分析了未来趋势，逻辑链条清晰，证据（如市场规模、用户渗透率、企业动向）支撑较好。但人才角度的趋势分析相对缺失，未能深入讨论行业对人才需求的变化趋势。</t>
        </is>
      </c>
      <c r="I197" s="10" t="inlineStr"/>
    </row>
    <row r="198">
      <c r="A198" s="13" t="n"/>
      <c r="B198" s="13" t="n"/>
      <c r="C198" s="13" t="inlineStr">
        <is>
          <t>AI 对行业影响的辩证分析</t>
        </is>
      </c>
      <c r="D198" s="10" t="inlineStr">
        <is>
          <t>正面影响</t>
        </is>
      </c>
      <c r="E198" s="14" t="n">
        <v>15</v>
      </c>
      <c r="F198" s="14" t="n">
        <v>14</v>
      </c>
      <c r="G198" s="14" t="n">
        <v>1</v>
      </c>
      <c r="H198" s="10" t="inlineStr">
        <is>
          <t>扣1分。报告举出了工业物联网AI运维、AI生成式设计工具、数据智能分析平台等具体场景，详细解释了AI如何提升效率（处理速度、迭代次数、交付周期），并合理量化了其价值（替代率、效率提升百分比）。分析具体且有说服力。</t>
        </is>
      </c>
      <c r="I198" s="10" t="inlineStr"/>
    </row>
    <row r="199">
      <c r="A199" s="13" t="n"/>
      <c r="B199" s="13" t="n"/>
      <c r="C199" s="13" t="inlineStr">
        <is>
          <t>AI 对行业影响的辩证分析</t>
        </is>
      </c>
      <c r="D199" s="10" t="inlineStr">
        <is>
          <t>负面影响与风险</t>
        </is>
      </c>
      <c r="E199" s="14" t="n">
        <v>15</v>
      </c>
      <c r="F199" s="14" t="n">
        <v>13</v>
      </c>
      <c r="G199" s="14" t="n">
        <v>2</v>
      </c>
      <c r="H199" s="10" t="inlineStr">
        <is>
          <t>扣2分。报告讨论了岗位替代风险，并量化了需求缩减比例，提出了学生应转向‘工具驾驭者’的缓解建议。但讨论的广度与深度稍显不足，例如对伦理合规、隐私、算法偏见等风险的讨论较为笼统，缺乏具体案例或深入分析，缓解建议也主要针对个人能力提升，未涉及行业或政策层面。</t>
        </is>
      </c>
      <c r="I199" s="10" t="inlineStr"/>
    </row>
    <row r="200">
      <c r="A200" s="13" t="n"/>
      <c r="B200" s="13" t="n"/>
      <c r="C200" s="13" t="inlineStr">
        <is>
          <t>岗位认知与个人职业定位</t>
        </is>
      </c>
      <c r="D200" s="10" t="inlineStr">
        <is>
          <t>岗位选择与职责理解</t>
        </is>
      </c>
      <c r="E200" s="14" t="n">
        <v>15</v>
      </c>
      <c r="F200" s="14" t="n">
        <v>14</v>
      </c>
      <c r="G200" s="14" t="n">
        <v>1</v>
      </c>
      <c r="H200" s="10" t="inlineStr">
        <is>
          <t>扣1分。报告结合专业提出了物联网产品/项目经理这一明确岗位，并清晰说明了其核心职责、所需能力（行业认知、业务逻辑、协同能力）以及成长路径（从需求挖掘到产品迭代）。自身匹配点（技术理解力、沟通协调、数据思维）分析到位，与岗位要求结合紧密。</t>
        </is>
      </c>
      <c r="I200" s="10" t="inlineStr"/>
    </row>
    <row r="201">
      <c r="A201" s="13" t="n"/>
      <c r="B201" s="13" t="n"/>
      <c r="C201" s="13" t="inlineStr">
        <is>
          <t>岗位认知与个人职业定位</t>
        </is>
      </c>
      <c r="D201" s="10" t="inlineStr">
        <is>
          <t>薪资与发展预期</t>
        </is>
      </c>
      <c r="E201" s="14" t="n">
        <v>10</v>
      </c>
      <c r="F201" s="14" t="n">
        <v>9</v>
      </c>
      <c r="G201" s="14" t="n">
        <v>1</v>
      </c>
      <c r="H201" s="10" t="inlineStr">
        <is>
          <t>扣1分。薪资区间（分应届、3-5年、5-10年）合理，并结合了地域（一线vs二三线）、公司类型/场景（高端场景vs实操领域）进行了差异分析，数据来源明确。发展预期（成为复合型人才）清晰。扣分点在于对‘层级差异’的分析可以更具体，例如不同职级（助理、经理、总监）的薪资与能力要求差异未明确阐述。</t>
        </is>
      </c>
      <c r="I201" s="10" t="inlineStr"/>
    </row>
    <row r="202">
      <c r="A202" s="13" t="n"/>
      <c r="B202" s="13" t="n"/>
      <c r="C202" s="13" t="inlineStr">
        <is>
          <t>报告结构与表达规范</t>
        </is>
      </c>
      <c r="D202" s="10" t="inlineStr">
        <is>
          <t>结构完整性与论证</t>
        </is>
      </c>
      <c r="E202" s="14" t="n">
        <v>5</v>
      </c>
      <c r="F202" s="14" t="n">
        <v>4.5</v>
      </c>
      <c r="G202" s="14" t="n">
        <v>0.5</v>
      </c>
      <c r="H202" s="10" t="inlineStr">
        <is>
          <t>扣0.5分。报告标题层级清晰（第一部分、1.1、第二部分、2.1等），段落组织合理，从专业认知到行业分析，再到AI影响和个人定位，逻辑连贯，基本形成了论点-论据-结论的闭环。扣分点在于部分小节（如2.3典型企业分析）的结论归纳可以更明确，以强化论证闭环。</t>
        </is>
      </c>
      <c r="I202" s="10" t="inlineStr"/>
    </row>
    <row r="203">
      <c r="A203" s="13" t="n"/>
      <c r="B203" s="13" t="n"/>
      <c r="C203" s="13" t="inlineStr">
        <is>
          <t>报告结构与表达规范</t>
        </is>
      </c>
      <c r="D203" s="10" t="inlineStr">
        <is>
          <t>语言表达与格式</t>
        </is>
      </c>
      <c r="E203" s="14" t="n">
        <v>5</v>
      </c>
      <c r="F203" s="14" t="n">
        <v>4.5</v>
      </c>
      <c r="G203" s="14" t="n">
        <v>0.5</v>
      </c>
      <c r="H203" s="10" t="inlineStr">
        <is>
          <t>扣0.5分。报告表述总体准确流畅，专业术语（如AIoT、IIoT、数字孪生）使用恰当。正文字数充足。扣分点在于部分句子较长，表述略显冗余（如1.1节对核心技能树的描述），影响了阅读的简洁性。</t>
        </is>
      </c>
      <c r="I203" s="10" t="inlineStr"/>
    </row>
    <row r="204">
      <c r="A204" s="13" t="inlineStr">
        <is>
          <t>202302051618</t>
        </is>
      </c>
      <c r="B204" s="13" t="inlineStr">
        <is>
          <t>伍峙崧</t>
        </is>
      </c>
      <c r="C204" s="13" t="inlineStr">
        <is>
          <t>职业缘起与认知</t>
        </is>
      </c>
      <c r="D204" s="10" t="inlineStr">
        <is>
          <t>职业缘起</t>
        </is>
      </c>
      <c r="E204" s="14" t="n">
        <v>31</v>
      </c>
      <c r="F204" s="14" t="n">
        <v>5</v>
      </c>
      <c r="G204" s="14" t="n">
        <v>26</v>
      </c>
      <c r="H204" s="10" t="inlineStr">
        <is>
          <t>仅提及目标职业，未说明职业兴趣或目标的任何具体来源（如家庭、事件、经历、榜样）。叙述空洞，缺乏真实具体的细节支撑。扣26分。</t>
        </is>
      </c>
      <c r="I204" s="10" t="inlineStr"/>
    </row>
    <row r="205">
      <c r="A205" s="13" t="inlineStr">
        <is>
          <t>202302051618</t>
        </is>
      </c>
      <c r="B205" s="13" t="inlineStr">
        <is>
          <t>伍峙崧</t>
        </is>
      </c>
      <c r="C205" s="13" t="inlineStr">
        <is>
          <t>职业缘起与认知</t>
        </is>
      </c>
      <c r="D205" s="10" t="inlineStr">
        <is>
          <t>自我特征</t>
        </is>
      </c>
      <c r="E205" s="14" t="n">
        <v>8</v>
      </c>
      <c r="F205" s="14" t="n">
        <v>2</v>
      </c>
      <c r="G205" s="14" t="n">
        <v>6</v>
      </c>
      <c r="H205" s="10" t="inlineStr">
        <is>
          <t>给出了MBTI测试结果及优劣势，但个人简介缺失，关键能力/性格特征仅简单罗列，未结合360°评价等其他方式，结论与后续目标（数据中心运维）的关联性分析薄弱。扣6分。</t>
        </is>
      </c>
      <c r="I205" s="10" t="inlineStr"/>
    </row>
    <row r="206">
      <c r="A206" s="13" t="inlineStr">
        <is>
          <t>202302051618</t>
        </is>
      </c>
      <c r="B206" s="13" t="inlineStr">
        <is>
          <t>伍峙崧</t>
        </is>
      </c>
      <c r="C206" s="13" t="inlineStr">
        <is>
          <t>职业缘起与认知</t>
        </is>
      </c>
      <c r="D206" s="10" t="inlineStr">
        <is>
          <t>行业认知</t>
        </is>
      </c>
      <c r="E206" s="14" t="n">
        <v>7</v>
      </c>
      <c r="F206" s="14" t="n">
        <v>0</v>
      </c>
      <c r="G206" s="14" t="n">
        <v>7</v>
      </c>
      <c r="H206" s="10" t="inlineStr">
        <is>
          <t>未基于任何国家政策、行业研报、人物访谈等对网络硬件行业的现状与趋势进行分析。仅有一句对行业发展的个人臆测，信息不可靠，分析无深度。扣7分。</t>
        </is>
      </c>
      <c r="I206" s="10" t="inlineStr"/>
    </row>
    <row r="207">
      <c r="A207" s="13" t="inlineStr">
        <is>
          <t>202302051618</t>
        </is>
      </c>
      <c r="B207" s="13" t="inlineStr">
        <is>
          <t>伍峙崧</t>
        </is>
      </c>
      <c r="C207" s="13" t="inlineStr">
        <is>
          <t>职业缘起与认知</t>
        </is>
      </c>
      <c r="D207" s="10" t="inlineStr">
        <is>
          <t>职业认知</t>
        </is>
      </c>
      <c r="E207" s="14" t="n">
        <v>7</v>
      </c>
      <c r="F207" s="14" t="n">
        <v>1</v>
      </c>
      <c r="G207" s="14" t="n">
        <v>6</v>
      </c>
      <c r="H207" s="10" t="inlineStr">
        <is>
          <t>仅提及目标职业名称及一句对技能要求的描述，未分析人才供需、岗位职责、具体招聘需求、职业素养等，也未体现对职业路径的任何理解。扣6分。</t>
        </is>
      </c>
      <c r="I207" s="10" t="inlineStr"/>
    </row>
    <row r="208">
      <c r="A208" s="13" t="inlineStr">
        <is>
          <t>202302051618</t>
        </is>
      </c>
      <c r="B208" s="13" t="inlineStr">
        <is>
          <t>伍峙崧</t>
        </is>
      </c>
      <c r="C208" s="13" t="inlineStr">
        <is>
          <t>职业目标与能力基础</t>
        </is>
      </c>
      <c r="D208" s="10" t="inlineStr">
        <is>
          <t>学校与专业背景</t>
        </is>
      </c>
      <c r="E208" s="14" t="n">
        <v>5</v>
      </c>
      <c r="F208" s="14" t="n">
        <v>0</v>
      </c>
      <c r="G208" s="14" t="n">
        <v>5</v>
      </c>
      <c r="H208" s="10" t="inlineStr">
        <is>
          <t>完全未介绍所学专业及学校育人特色，无法判断其与职业目标（数据中心运维工程师）的相关性。扣5分。</t>
        </is>
      </c>
      <c r="I208" s="10" t="inlineStr"/>
    </row>
    <row r="209">
      <c r="A209" s="13" t="inlineStr">
        <is>
          <t>202302051618</t>
        </is>
      </c>
      <c r="B209" s="13" t="inlineStr">
        <is>
          <t>伍峙崧</t>
        </is>
      </c>
      <c r="C209" s="13" t="inlineStr">
        <is>
          <t>职业目标与能力基础</t>
        </is>
      </c>
      <c r="D209" s="10" t="inlineStr">
        <is>
          <t>专业能力</t>
        </is>
      </c>
      <c r="E209" s="14" t="n">
        <v>8</v>
      </c>
      <c r="F209" s="14" t="n">
        <v>2</v>
      </c>
      <c r="G209" s="14" t="n">
        <v>6</v>
      </c>
      <c r="H209" s="10" t="inlineStr">
        <is>
          <t>列举了PS、视频剪辑等技能及英语四六级、EPIA证书计划，但未提及成绩、科研成果、奖学金、关键课程等。所列技能（如PS）与目标岗位（数据中心运维）的匹配性论证严重不足。扣6分。</t>
        </is>
      </c>
      <c r="I209" s="10" t="inlineStr"/>
    </row>
    <row r="210">
      <c r="A210" s="13" t="inlineStr">
        <is>
          <t>202302051618</t>
        </is>
      </c>
      <c r="B210" s="13" t="inlineStr">
        <is>
          <t>伍峙崧</t>
        </is>
      </c>
      <c r="C210" s="13" t="inlineStr">
        <is>
          <t>职业目标与能力基础</t>
        </is>
      </c>
      <c r="D210" s="10" t="inlineStr">
        <is>
          <t>综合能力</t>
        </is>
      </c>
      <c r="E210" s="14" t="n">
        <v>6</v>
      </c>
      <c r="F210" s="14" t="n">
        <v>1</v>
      </c>
      <c r="G210" s="14" t="n">
        <v>5</v>
      </c>
      <c r="H210" s="10" t="inlineStr">
        <is>
          <t>提及了沟通、社交等软实力，但未列举任何具体的竞赛、学生工作或任职经历来支撑职业发展。扣5分。</t>
        </is>
      </c>
      <c r="I210" s="10" t="inlineStr"/>
    </row>
    <row r="211">
      <c r="A211" s="13" t="inlineStr">
        <is>
          <t>202302051618</t>
        </is>
      </c>
      <c r="B211" s="13" t="inlineStr">
        <is>
          <t>伍峙崧</t>
        </is>
      </c>
      <c r="C211" s="13" t="inlineStr">
        <is>
          <t>职业目标与能力基础</t>
        </is>
      </c>
      <c r="D211" s="10" t="inlineStr">
        <is>
          <t>实践能力</t>
        </is>
      </c>
      <c r="E211" s="14" t="n">
        <v>6</v>
      </c>
      <c r="F211" s="14" t="n">
        <v>1</v>
      </c>
      <c r="G211" s="14" t="n">
        <v>5</v>
      </c>
      <c r="H211" s="10" t="inlineStr">
        <is>
          <t>仅提及计划实习，未描述任何已参与的校园活动、社会实践或实习，未形成可迁移的能力与成果描述。扣5分。</t>
        </is>
      </c>
      <c r="I211" s="10" t="inlineStr"/>
    </row>
    <row r="212">
      <c r="A212" s="13" t="inlineStr">
        <is>
          <t>202302051618</t>
        </is>
      </c>
      <c r="B212" s="13" t="inlineStr">
        <is>
          <t>伍峙崧</t>
        </is>
      </c>
      <c r="C212" s="13" t="inlineStr">
        <is>
          <t>职业目标与能力基础</t>
        </is>
      </c>
      <c r="D212" s="10" t="inlineStr">
        <is>
          <t>短板提升计划</t>
        </is>
      </c>
      <c r="E212" s="14" t="n">
        <v>10</v>
      </c>
      <c r="F212" s="14" t="n">
        <v>2</v>
      </c>
      <c r="G212" s="14" t="n">
        <v>8</v>
      </c>
      <c r="H212" s="10" t="inlineStr">
        <is>
          <t>识别了英语能力短板，但提升目标（“考上四六级”）不够具体明确，缺乏可落地的详细对策（如学习计划、资源、时间节点）。扣8分。</t>
        </is>
      </c>
      <c r="I212" s="10" t="inlineStr"/>
    </row>
    <row r="213">
      <c r="A213" s="13" t="inlineStr">
        <is>
          <t>202302051618</t>
        </is>
      </c>
      <c r="B213" s="13" t="inlineStr">
        <is>
          <t>伍峙崧</t>
        </is>
      </c>
      <c r="C213" s="13" t="inlineStr">
        <is>
          <t>职业目标与能力基础</t>
        </is>
      </c>
      <c r="D213" s="10" t="inlineStr">
        <is>
          <t>成长路径</t>
        </is>
      </c>
      <c r="E213" s="14" t="n">
        <v>15</v>
      </c>
      <c r="F213" s="14" t="n">
        <v>5</v>
      </c>
      <c r="G213" s="14" t="n">
        <v>10</v>
      </c>
      <c r="H213" s="10" t="inlineStr">
        <is>
          <t>给出了短、中、长期阶段划分，但目标极其笼统（如“月薪达到6千到1万”、“晋升为高级工程师”），缺乏具体的里程碑、能力提升指标和连贯的逻辑路径，可执行性差。扣10分。</t>
        </is>
      </c>
      <c r="I213" s="10" t="inlineStr"/>
    </row>
    <row r="214">
      <c r="A214" s="13" t="inlineStr">
        <is>
          <t>202302051618</t>
        </is>
      </c>
      <c r="B214" s="13" t="inlineStr">
        <is>
          <t>伍峙崧</t>
        </is>
      </c>
      <c r="C214" s="13" t="inlineStr">
        <is>
          <t>动态调整与风险应对</t>
        </is>
      </c>
      <c r="D214" s="10" t="inlineStr">
        <is>
          <t>风险评估与应对策略</t>
        </is>
      </c>
      <c r="E214" s="14" t="n">
        <v>20</v>
      </c>
      <c r="F214" s="14" t="n">
        <v>0</v>
      </c>
      <c r="G214" s="14" t="n">
        <v>20</v>
      </c>
      <c r="H214" s="10" t="inlineStr">
        <is>
          <t>完全未识别职业路径中的任何风险，未给出评估周期、应对策略或备选职业方案，未体现规划的弹性与前瞻性。扣20分。</t>
        </is>
      </c>
      <c r="I214" s="10" t="inlineStr"/>
    </row>
    <row r="215">
      <c r="A215" s="13" t="inlineStr">
        <is>
          <t>202502210192</t>
        </is>
      </c>
      <c r="B215" s="13" t="inlineStr">
        <is>
          <t>王敬丹</t>
        </is>
      </c>
      <c r="C215" s="13" t="inlineStr">
        <is>
          <t>职业缘起与认知</t>
        </is>
      </c>
      <c r="D215" s="10" t="inlineStr">
        <is>
          <t>职业缘起</t>
        </is>
      </c>
      <c r="E215" s="14" t="n">
        <v>31</v>
      </c>
      <c r="F215" s="14" t="n">
        <v>15</v>
      </c>
      <c r="G215" s="14" t="n">
        <v>16</v>
      </c>
      <c r="H215" s="10" t="inlineStr">
        <is>
          <t>扣16分。仅简单提及‘专业对口’和‘符合期盼’，未具体说明职业兴趣或目标的来源，如家庭环境、重大事件、过往经历、榜样力量等，叙述不够真实具体。</t>
        </is>
      </c>
      <c r="I215" s="10" t="inlineStr"/>
    </row>
    <row r="216">
      <c r="A216" s="13" t="inlineStr">
        <is>
          <t>202502210192</t>
        </is>
      </c>
      <c r="B216" s="13" t="inlineStr">
        <is>
          <t>王敬丹</t>
        </is>
      </c>
      <c r="C216" s="13" t="inlineStr">
        <is>
          <t>职业缘起与认知</t>
        </is>
      </c>
      <c r="D216" s="10" t="inlineStr">
        <is>
          <t>自我特征</t>
        </is>
      </c>
      <c r="E216" s="14" t="n">
        <v>8</v>
      </c>
      <c r="F216" s="14" t="n">
        <v>4</v>
      </c>
      <c r="G216" s="14" t="n">
        <v>4</v>
      </c>
      <c r="H216" s="10" t="inlineStr">
        <is>
          <t>扣4分。提供了MBTI性格测试结果和能力盘点，但个人简介缺失，且未结合360°评价等多元方式进行验证。性格与能力分析结论与后续AIoT工程师目标的一致性论证不足。</t>
        </is>
      </c>
      <c r="I216" s="10" t="inlineStr"/>
    </row>
    <row r="217">
      <c r="A217" s="13" t="inlineStr">
        <is>
          <t>202502210192</t>
        </is>
      </c>
      <c r="B217" s="13" t="inlineStr">
        <is>
          <t>王敬丹</t>
        </is>
      </c>
      <c r="C217" s="13" t="inlineStr">
        <is>
          <t>职业缘起与认知</t>
        </is>
      </c>
      <c r="D217" s="10" t="inlineStr">
        <is>
          <t>行业认知</t>
        </is>
      </c>
      <c r="E217" s="14" t="n">
        <v>7</v>
      </c>
      <c r="F217" s="14" t="n">
        <v>4</v>
      </c>
      <c r="G217" s="14" t="n">
        <v>3</v>
      </c>
      <c r="H217" s="10" t="inlineStr">
        <is>
          <t>扣3分。对软件与数据行业的选择理由（如AI冲击下的不可替代性）有一定分析，但未基于国家政策、行业研报、人物访谈等可靠信息源对行业现状与趋势进行深入分析，深度不足。</t>
        </is>
      </c>
      <c r="I217" s="10" t="inlineStr"/>
    </row>
    <row r="218">
      <c r="A218" s="13" t="inlineStr">
        <is>
          <t>202502210192</t>
        </is>
      </c>
      <c r="B218" s="13" t="inlineStr">
        <is>
          <t>王敬丹</t>
        </is>
      </c>
      <c r="C218" s="13" t="inlineStr">
        <is>
          <t>职业缘起与认知</t>
        </is>
      </c>
      <c r="D218" s="10" t="inlineStr">
        <is>
          <t>职业认知</t>
        </is>
      </c>
      <c r="E218" s="14" t="n">
        <v>7</v>
      </c>
      <c r="F218" s="14" t="n">
        <v>6</v>
      </c>
      <c r="G218" s="14" t="n">
        <v>1</v>
      </c>
      <c r="H218" s="10" t="inlineStr">
        <is>
          <t>扣1分。对人工智能工程师（AIoT方向）的岗位职责、企业要求（胜任力模型）分析具体，体现了对职业素养和技能要求的理解，但对人才供需、招聘需求的具体分析以及职业路径的理解展现不足。</t>
        </is>
      </c>
      <c r="I218" s="10" t="inlineStr"/>
    </row>
    <row r="219">
      <c r="A219" s="13" t="inlineStr">
        <is>
          <t>202502210192</t>
        </is>
      </c>
      <c r="B219" s="13" t="inlineStr">
        <is>
          <t>王敬丹</t>
        </is>
      </c>
      <c r="C219" s="13" t="inlineStr">
        <is>
          <t>职业目标与能力基础</t>
        </is>
      </c>
      <c r="D219" s="10" t="inlineStr">
        <is>
          <t>学校与专业背景</t>
        </is>
      </c>
      <c r="E219" s="14" t="n">
        <v>5</v>
      </c>
      <c r="F219" s="14" t="n">
        <v>3</v>
      </c>
      <c r="G219" s="14" t="n">
        <v>2</v>
      </c>
      <c r="H219" s="10" t="inlineStr">
        <is>
          <t>扣2分。全文未提及所学专业名称及学校育人特色，因此无法判断介绍是否准确以及与职业目标的相关性。</t>
        </is>
      </c>
      <c r="I219" s="10" t="inlineStr"/>
    </row>
    <row r="220">
      <c r="A220" s="13" t="inlineStr">
        <is>
          <t>202502210192</t>
        </is>
      </c>
      <c r="B220" s="13" t="inlineStr">
        <is>
          <t>王敬丹</t>
        </is>
      </c>
      <c r="C220" s="13" t="inlineStr">
        <is>
          <t>职业目标与能力基础</t>
        </is>
      </c>
      <c r="D220" s="10" t="inlineStr">
        <is>
          <t>专业能力</t>
        </is>
      </c>
      <c r="E220" s="14" t="n">
        <v>8</v>
      </c>
      <c r="F220" s="14" t="n">
        <v>6</v>
      </c>
      <c r="G220" s="14" t="n">
        <v>2</v>
      </c>
      <c r="H220" s="10" t="inlineStr">
        <is>
          <t>扣2分。列举了掌握的办公软件和C语言基础，并说明了与目标岗位的差距，但未提供成绩、科研成果、奖学金、证书、关键课程等具体佐证材料，匹配性论证不够充分。</t>
        </is>
      </c>
      <c r="I220" s="10" t="inlineStr"/>
    </row>
    <row r="221">
      <c r="A221" s="13" t="inlineStr">
        <is>
          <t>202502210192</t>
        </is>
      </c>
      <c r="B221" s="13" t="inlineStr">
        <is>
          <t>王敬丹</t>
        </is>
      </c>
      <c r="C221" s="13" t="inlineStr">
        <is>
          <t>职业目标与能力基础</t>
        </is>
      </c>
      <c r="D221" s="10" t="inlineStr">
        <is>
          <t>综合能力</t>
        </is>
      </c>
      <c r="E221" s="14" t="n">
        <v>6</v>
      </c>
      <c r="F221" s="14" t="n">
        <v>4</v>
      </c>
      <c r="G221" s="14" t="n">
        <v>2</v>
      </c>
      <c r="H221" s="10" t="inlineStr">
        <is>
          <t>扣2分。提到了抗压能力和沟通能力，但未列举任何竞赛、学生工作、任职经历等具体事例来支撑这些能力对职业发展的作用。</t>
        </is>
      </c>
      <c r="I221" s="10" t="inlineStr"/>
    </row>
    <row r="222">
      <c r="A222" s="13" t="inlineStr">
        <is>
          <t>202502210192</t>
        </is>
      </c>
      <c r="B222" s="13" t="inlineStr">
        <is>
          <t>王敬丹</t>
        </is>
      </c>
      <c r="C222" s="13" t="inlineStr">
        <is>
          <t>职业目标与能力基础</t>
        </is>
      </c>
      <c r="D222" s="10" t="inlineStr">
        <is>
          <t>实践能力</t>
        </is>
      </c>
      <c r="E222" s="14" t="n">
        <v>6</v>
      </c>
      <c r="F222" s="14" t="n">
        <v>4</v>
      </c>
      <c r="G222" s="14" t="n">
        <v>2</v>
      </c>
      <c r="H222" s="10" t="inlineStr">
        <is>
          <t>扣2分。规划中提到了未来的实习目标，但未说明已有的校园活动、社会实践或实习经历，因此无法评估其是否已形成可迁移的能力与成果。</t>
        </is>
      </c>
      <c r="I222" s="10" t="inlineStr"/>
    </row>
    <row r="223">
      <c r="A223" s="13" t="inlineStr">
        <is>
          <t>202502210192</t>
        </is>
      </c>
      <c r="B223" s="13" t="inlineStr">
        <is>
          <t>王敬丹</t>
        </is>
      </c>
      <c r="C223" s="13" t="inlineStr">
        <is>
          <t>职业目标与能力基础</t>
        </is>
      </c>
      <c r="D223" s="10" t="inlineStr">
        <is>
          <t>短板提升计划</t>
        </is>
      </c>
      <c r="E223" s="14" t="n">
        <v>10</v>
      </c>
      <c r="F223" s="14" t="n">
        <v>8</v>
      </c>
      <c r="G223" s="14" t="n">
        <v>2</v>
      </c>
      <c r="H223" s="10" t="inlineStr">
        <is>
          <t>扣2分。准确识别了在编程语言（Python/Java/C++）、专业知识、AI及嵌入式技术方面的短板，并提出了学习方向。但提升目标（如掌握程度）不够明确，对策（如具体学习路径、资源、时间安排）的落地细节有待细化。</t>
        </is>
      </c>
      <c r="I223" s="10" t="inlineStr"/>
    </row>
    <row r="224">
      <c r="A224" s="13" t="inlineStr">
        <is>
          <t>202502210192</t>
        </is>
      </c>
      <c r="B224" s="13" t="inlineStr">
        <is>
          <t>王敬丹</t>
        </is>
      </c>
      <c r="C224" s="13" t="inlineStr">
        <is>
          <t>职业目标与能力基础</t>
        </is>
      </c>
      <c r="D224" s="10" t="inlineStr">
        <is>
          <t>成长路径</t>
        </is>
      </c>
      <c r="E224" s="14" t="n">
        <v>15</v>
      </c>
      <c r="F224" s="14" t="n">
        <v>13</v>
      </c>
      <c r="G224" s="14" t="n">
        <v>2</v>
      </c>
      <c r="H224" s="10" t="inlineStr">
        <is>
          <t>扣2分。短期（在校）、中期（0-2年）、长期（3-5年）的阶段目标与里程碑设置清晰，逻辑连贯，且包含具体的技术学习路径、证书目标和业务目标，可执行性强。但长期目标（5年以上）缺失。</t>
        </is>
      </c>
      <c r="I224" s="10" t="inlineStr"/>
    </row>
    <row r="225">
      <c r="A225" s="13" t="inlineStr">
        <is>
          <t>202502210192</t>
        </is>
      </c>
      <c r="B225" s="13" t="inlineStr">
        <is>
          <t>王敬丹</t>
        </is>
      </c>
      <c r="C225" s="13" t="inlineStr">
        <is>
          <t>动态调整与风险应对</t>
        </is>
      </c>
      <c r="D225" s="10" t="inlineStr">
        <is>
          <t>风险评估与应对策略</t>
        </is>
      </c>
      <c r="E225" s="14" t="n">
        <v>20</v>
      </c>
      <c r="F225" s="14" t="n">
        <v>0</v>
      </c>
      <c r="G225" s="14" t="n">
        <v>20</v>
      </c>
      <c r="H225" s="10" t="inlineStr">
        <is>
          <t>扣20分。未识别职业路径中的任何潜在风险（如技术迭代风险、就业市场变化、个人发展瓶颈等），也未给出任何评估周期、应对策略或备选职业方案，未能体现规划的弹性与前瞻性。</t>
        </is>
      </c>
      <c r="I225" s="10" t="inlineStr"/>
    </row>
    <row r="226">
      <c r="A226" s="13" t="inlineStr">
        <is>
          <t>202502210171</t>
        </is>
      </c>
      <c r="B226" s="13" t="inlineStr">
        <is>
          <t>左松铭</t>
        </is>
      </c>
      <c r="C226" s="13" t="inlineStr">
        <is>
          <t>职业缘起与认知</t>
        </is>
      </c>
      <c r="D226" s="10" t="inlineStr">
        <is>
          <t>职业缘起</t>
        </is>
      </c>
      <c r="E226" s="14" t="n">
        <v>31</v>
      </c>
      <c r="F226" s="14" t="n">
        <v>0</v>
      </c>
      <c r="G226" s="14" t="n">
        <v>31</v>
      </c>
      <c r="H226" s="10" t="inlineStr">
        <is>
          <t>未说明职业兴趣或目标的任何具体来源，如家庭环境、重大事件、过往经历或榜样力量等。内容完全缺失，不符合评分要求。</t>
        </is>
      </c>
      <c r="I226" s="10" t="inlineStr"/>
    </row>
    <row r="227">
      <c r="A227" s="13" t="inlineStr">
        <is>
          <t>202502210171</t>
        </is>
      </c>
      <c r="B227" s="13" t="inlineStr">
        <is>
          <t>左松铭</t>
        </is>
      </c>
      <c r="C227" s="13" t="inlineStr">
        <is>
          <t>职业缘起与认知</t>
        </is>
      </c>
      <c r="D227" s="10" t="inlineStr">
        <is>
          <t>自我特征</t>
        </is>
      </c>
      <c r="E227" s="14" t="n">
        <v>8</v>
      </c>
      <c r="F227" s="14" t="n">
        <v>4</v>
      </c>
      <c r="G227" s="14" t="n">
        <v>4</v>
      </c>
      <c r="H227" s="10" t="inlineStr">
        <is>
          <t>提供了MBTI测试结果和个人能力盘点，但个人简介缺失，关键能力/性格特征描述较为笼统。结论（如INTP适合技术工作）与后续目标（技术人员）基本一致，但分析深度不足。</t>
        </is>
      </c>
      <c r="I227" s="10" t="inlineStr"/>
    </row>
    <row r="228">
      <c r="A228" s="13" t="inlineStr">
        <is>
          <t>202502210171</t>
        </is>
      </c>
      <c r="B228" s="13" t="inlineStr">
        <is>
          <t>左松铭</t>
        </is>
      </c>
      <c r="C228" s="13" t="inlineStr">
        <is>
          <t>职业缘起与认知</t>
        </is>
      </c>
      <c r="D228" s="10" t="inlineStr">
        <is>
          <t>行业认知</t>
        </is>
      </c>
      <c r="E228" s="14" t="n">
        <v>7</v>
      </c>
      <c r="F228" s="14" t="n">
        <v>2</v>
      </c>
      <c r="G228" s="14" t="n">
        <v>5</v>
      </c>
      <c r="H228" s="10" t="inlineStr">
        <is>
          <t>仅提及“高新技术发展”、“国家政策扶持”等宽泛概念，未基于具体的国家政策文件、行业研报或人物访谈进行分析。信息可靠性无法判断，分析缺乏深度和具体内容。</t>
        </is>
      </c>
      <c r="I228" s="10" t="inlineStr"/>
    </row>
    <row r="229">
      <c r="A229" s="13" t="inlineStr">
        <is>
          <t>202502210171</t>
        </is>
      </c>
      <c r="B229" s="13" t="inlineStr">
        <is>
          <t>左松铭</t>
        </is>
      </c>
      <c r="C229" s="13" t="inlineStr">
        <is>
          <t>职业缘起与认知</t>
        </is>
      </c>
      <c r="D229" s="10" t="inlineStr">
        <is>
          <t>职业认知</t>
        </is>
      </c>
      <c r="E229" s="14" t="n">
        <v>7</v>
      </c>
      <c r="F229" s="14" t="n">
        <v>2</v>
      </c>
      <c r="G229" s="14" t="n">
        <v>5</v>
      </c>
      <c r="H229" s="10" t="inlineStr">
        <is>
          <t>仅简单提及目标岗位（腾讯技术人员）和企业要求（品质、技术），未对人才供需、具体岗位职责、招聘需求、职业素养等进行任何分析，也未体现对职业路径的理解。</t>
        </is>
      </c>
      <c r="I229" s="10" t="inlineStr"/>
    </row>
    <row r="230">
      <c r="A230" s="13" t="inlineStr">
        <is>
          <t>202502210171</t>
        </is>
      </c>
      <c r="B230" s="13" t="inlineStr">
        <is>
          <t>左松铭</t>
        </is>
      </c>
      <c r="C230" s="13" t="inlineStr">
        <is>
          <t>职业目标与能力基础</t>
        </is>
      </c>
      <c r="D230" s="10" t="inlineStr">
        <is>
          <t>学校与专业背景</t>
        </is>
      </c>
      <c r="E230" s="14" t="n">
        <v>5</v>
      </c>
      <c r="F230" s="14" t="n">
        <v>0</v>
      </c>
      <c r="G230" s="14" t="n">
        <v>5</v>
      </c>
      <c r="H230" s="10" t="inlineStr">
        <is>
          <t>全文未提及所学专业、所在学校及学校育人特色，无法评估其准确性与相关性。内容缺失。</t>
        </is>
      </c>
      <c r="I230" s="10" t="inlineStr"/>
    </row>
    <row r="231">
      <c r="A231" s="13" t="inlineStr">
        <is>
          <t>202502210171</t>
        </is>
      </c>
      <c r="B231" s="13" t="inlineStr">
        <is>
          <t>左松铭</t>
        </is>
      </c>
      <c r="C231" s="13" t="inlineStr">
        <is>
          <t>职业目标与能力基础</t>
        </is>
      </c>
      <c r="D231" s="10" t="inlineStr">
        <is>
          <t>专业能力</t>
        </is>
      </c>
      <c r="E231" s="14" t="n">
        <v>8</v>
      </c>
      <c r="F231" s="14" t="n">
        <v>3</v>
      </c>
      <c r="G231" s="14" t="n">
        <v>5</v>
      </c>
      <c r="H231" s="10" t="inlineStr">
        <is>
          <t>列举了掌握C语言，但未提供成绩、科研成果、奖学金、证书、关键课程等具体证据。仅简单说明“有一定的技术基础”，与目标岗位的匹配性论证非常薄弱。</t>
        </is>
      </c>
      <c r="I231" s="10" t="inlineStr"/>
    </row>
    <row r="232">
      <c r="A232" s="13" t="inlineStr">
        <is>
          <t>202502210171</t>
        </is>
      </c>
      <c r="B232" s="13" t="inlineStr">
        <is>
          <t>左松铭</t>
        </is>
      </c>
      <c r="C232" s="13" t="inlineStr">
        <is>
          <t>职业目标与能力基础</t>
        </is>
      </c>
      <c r="D232" s="10" t="inlineStr">
        <is>
          <t>综合能力</t>
        </is>
      </c>
      <c r="E232" s="14" t="n">
        <v>6</v>
      </c>
      <c r="F232" s="14" t="n">
        <v>2</v>
      </c>
      <c r="G232" s="14" t="n">
        <v>4</v>
      </c>
      <c r="H232" s="10" t="inlineStr">
        <is>
          <t>提及“表达能力”和“抗压心态”，但未提供任何竞赛、学生工作、任职经历等具体事例来支撑这些能力及其对职业发展的作用。</t>
        </is>
      </c>
      <c r="I232" s="10" t="inlineStr"/>
    </row>
    <row r="233">
      <c r="A233" s="13" t="inlineStr">
        <is>
          <t>202502210171</t>
        </is>
      </c>
      <c r="B233" s="13" t="inlineStr">
        <is>
          <t>左松铭</t>
        </is>
      </c>
      <c r="C233" s="13" t="inlineStr">
        <is>
          <t>职业目标与能力基础</t>
        </is>
      </c>
      <c r="D233" s="10" t="inlineStr">
        <is>
          <t>实践能力</t>
        </is>
      </c>
      <c r="E233" s="14" t="n">
        <v>6</v>
      </c>
      <c r="F233" s="14" t="n">
        <v>2</v>
      </c>
      <c r="G233" s="14" t="n">
        <v>4</v>
      </c>
      <c r="H233" s="10" t="inlineStr">
        <is>
          <t>计划“进入初级公司积累经验”，但未描述任何已完成的校园活动、社会实践或实习，也未说明已形成了哪些可迁移的能力与成果。</t>
        </is>
      </c>
      <c r="I233" s="10" t="inlineStr"/>
    </row>
    <row r="234">
      <c r="A234" s="13" t="inlineStr">
        <is>
          <t>202502210171</t>
        </is>
      </c>
      <c r="B234" s="13" t="inlineStr">
        <is>
          <t>左松铭</t>
        </is>
      </c>
      <c r="C234" s="13" t="inlineStr">
        <is>
          <t>职业目标与能力基础</t>
        </is>
      </c>
      <c r="D234" s="10" t="inlineStr">
        <is>
          <t>短板提升计划</t>
        </is>
      </c>
      <c r="E234" s="14" t="n">
        <v>10</v>
      </c>
      <c r="F234" s="14" t="n">
        <v>3</v>
      </c>
      <c r="G234" s="14" t="n">
        <v>7</v>
      </c>
      <c r="H234" s="10" t="inlineStr">
        <is>
          <t>识别了“外语沟通”和“领导气魄”两个短板，但提升目标模糊（如“精进”），未提出任何具体、可落地的学习、训练或实践对策。计划可行性低。</t>
        </is>
      </c>
      <c r="I234" s="10" t="inlineStr"/>
    </row>
    <row r="235">
      <c r="A235" s="13" t="inlineStr">
        <is>
          <t>202502210171</t>
        </is>
      </c>
      <c r="B235" s="13" t="inlineStr">
        <is>
          <t>左松铭</t>
        </is>
      </c>
      <c r="C235" s="13" t="inlineStr">
        <is>
          <t>职业目标与能力基础</t>
        </is>
      </c>
      <c r="D235" s="10" t="inlineStr">
        <is>
          <t>成长路径</t>
        </is>
      </c>
      <c r="E235" s="14" t="n">
        <v>15</v>
      </c>
      <c r="F235" s="14" t="n">
        <v>5</v>
      </c>
      <c r="G235" s="14" t="n">
        <v>10</v>
      </c>
      <c r="H235" s="10" t="inlineStr">
        <is>
          <t>给出了短期、中期、长期的大致方向，但阶段目标（如“业绩最好”、“总工程师”）过于笼统，缺乏具体的、可衡量的里程碑。各阶段之间的逻辑连贯性一般，可执行性不足。</t>
        </is>
      </c>
      <c r="I235" s="10" t="inlineStr"/>
    </row>
    <row r="236">
      <c r="A236" s="13" t="inlineStr">
        <is>
          <t>202502210171</t>
        </is>
      </c>
      <c r="B236" s="13" t="inlineStr">
        <is>
          <t>左松铭</t>
        </is>
      </c>
      <c r="C236" s="13" t="inlineStr">
        <is>
          <t>动态调整与风险应对</t>
        </is>
      </c>
      <c r="D236" s="10" t="inlineStr">
        <is>
          <t>风险评估与应对策略</t>
        </is>
      </c>
      <c r="E236" s="14" t="n">
        <v>20</v>
      </c>
      <c r="F236" s="14" t="n">
        <v>0</v>
      </c>
      <c r="G236" s="14" t="n">
        <v>20</v>
      </c>
      <c r="H236" s="10" t="inlineStr">
        <is>
          <t>全文未识别职业路径中的任何风险，未给出评估周期、应对策略，也未提供备选职业方案。内容完全缺失，无法体现规划的弹性与前瞻性。</t>
        </is>
      </c>
      <c r="I236" s="10" t="inlineStr"/>
    </row>
    <row r="237">
      <c r="A237" s="13" t="inlineStr">
        <is>
          <t>202502210180</t>
        </is>
      </c>
      <c r="B237" s="13" t="inlineStr">
        <is>
          <t>刘星宇</t>
        </is>
      </c>
      <c r="C237" s="13" t="inlineStr">
        <is>
          <t>行业与专业匹配的宏观分析</t>
        </is>
      </c>
      <c r="D237" s="10" t="inlineStr">
        <is>
          <t>行业现状梳理</t>
        </is>
      </c>
      <c r="E237" s="14" t="n">
        <v>15</v>
      </c>
      <c r="F237" s="14" t="n">
        <v>14</v>
      </c>
      <c r="G237" s="14" t="n">
        <v>1</v>
      </c>
      <c r="H237" s="10" t="inlineStr">
        <is>
          <t>报告从全球及国内市场规模、连接数、产业体系、政策驱动、主要应用领域等方面进行了梳理，信息较为全面，并标注了部分数据来源，可信度较高。扣1分在于对‘核心玩家/生态’的梳理主要集中于后文的企业分析，在本部分未做系统性概括，且‘当前痛点’分析相对薄弱。</t>
        </is>
      </c>
      <c r="I237" s="10" t="inlineStr"/>
    </row>
    <row r="238">
      <c r="A238" s="13" t="inlineStr">
        <is>
          <t>202502210180</t>
        </is>
      </c>
      <c r="B238" s="13" t="inlineStr">
        <is>
          <t>刘星宇</t>
        </is>
      </c>
      <c r="C238" s="13" t="inlineStr">
        <is>
          <t>行业与专业匹配的宏观分析</t>
        </is>
      </c>
      <c r="D238" s="10" t="inlineStr">
        <is>
          <t>行业趋势判断</t>
        </is>
      </c>
      <c r="E238" s="14" t="n">
        <v>20</v>
      </c>
      <c r="F238" s="14" t="n">
        <v>16</v>
      </c>
      <c r="G238" s="14" t="n">
        <v>4</v>
      </c>
      <c r="H238" s="10" t="inlineStr">
        <is>
          <t>报告从技术（6G、AI大模型、数字孪生）、市场（产业端、消费端）、政策等角度分析了未来趋势，并划分了具体领域进行阐述，逻辑框架清晰。扣4分在于：1. 对‘资本’角度的趋势分析缺失；2. 部分趋势判断（如向‘自主智能’、‘绿色低碳’拓展）虽有提及，但缺乏具体的证据或数据支撑其必然性，逻辑链条不够坚实；3. ‘人才’角度的趋势分析较为间接。</t>
        </is>
      </c>
      <c r="I238" s="10" t="inlineStr"/>
    </row>
    <row r="239">
      <c r="A239" s="13" t="inlineStr">
        <is>
          <t>202502210180</t>
        </is>
      </c>
      <c r="B239" s="13" t="inlineStr">
        <is>
          <t>刘星宇</t>
        </is>
      </c>
      <c r="C239" s="13" t="inlineStr">
        <is>
          <t>AI 对行业影响的辩证分析</t>
        </is>
      </c>
      <c r="D239" s="10" t="inlineStr">
        <is>
          <t>正面影响</t>
        </is>
      </c>
      <c r="E239" s="14" t="n">
        <v>15</v>
      </c>
      <c r="F239" s="14" t="n">
        <v>12</v>
      </c>
      <c r="G239" s="14" t="n">
        <v>3</v>
      </c>
      <c r="H239" s="10" t="inlineStr">
        <is>
          <t>报告列举了AI在效率提升、门槛降低、精度与可靠性提升三方面的正面影响，并关联了具体的AI工具（如八大智能体、Copilot）和应用场景（如工业故障响应、设计）。扣3分在于：1. 对‘新业务形态’的阐述不足；2. 所提及的‘缩短40%-80%’等量化数据缺乏明确的出处或计算依据，量化价值的论证不够扎实。</t>
        </is>
      </c>
      <c r="I239" s="10" t="inlineStr"/>
    </row>
    <row r="240">
      <c r="A240" s="13" t="inlineStr">
        <is>
          <t>202502210180</t>
        </is>
      </c>
      <c r="B240" s="13" t="inlineStr">
        <is>
          <t>刘星宇</t>
        </is>
      </c>
      <c r="C240" s="13" t="inlineStr">
        <is>
          <t>AI 对行业影响的辩证分析</t>
        </is>
      </c>
      <c r="D240" s="10" t="inlineStr">
        <is>
          <t>负面影响与风险</t>
        </is>
      </c>
      <c r="E240" s="14" t="n">
        <v>15</v>
      </c>
      <c r="F240" s="14" t="n">
        <v>13</v>
      </c>
      <c r="G240" s="14" t="n">
        <v>2</v>
      </c>
      <c r="H240" s="10" t="inlineStr">
        <is>
          <t>报告明确指出了岗位替代（初级岗位消失）这一核心风险，并分析了学生群体面临的结构性失业风险，视角具有针对性。扣2分在于：1. 对伦理合规、隐私、偏见等其他风险的讨论非常简略或缺失；2. 针对岗位替代风险提出的‘缓解建议’（如聚焦高价值方向、拥抱AI工具）更偏向个人应对策略，而非行业或社会层面的系统性缓解建议，深度有待加强。</t>
        </is>
      </c>
      <c r="I240" s="10" t="inlineStr"/>
    </row>
    <row r="241">
      <c r="A241" s="13" t="inlineStr">
        <is>
          <t>202502210180</t>
        </is>
      </c>
      <c r="B241" s="13" t="inlineStr">
        <is>
          <t>刘星宇</t>
        </is>
      </c>
      <c r="C241" s="13" t="inlineStr">
        <is>
          <t>岗位认知与个人职业定位</t>
        </is>
      </c>
      <c r="D241" s="10" t="inlineStr">
        <is>
          <t>岗位选择与职责理解</t>
        </is>
      </c>
      <c r="E241" s="14" t="n">
        <v>15</v>
      </c>
      <c r="F241" s="14" t="n">
        <v>13</v>
      </c>
      <c r="G241" s="14" t="n">
        <v>2</v>
      </c>
      <c r="H241" s="10" t="inlineStr">
        <is>
          <t>结合行业趋势（AIoT融合、工业互联网）提出了‘AIoT工业互联网解决方案工程师’这一具体岗位，并阐述了其核心价值。对岗位职责、所需技能（物联网+AI+行业知识）和成长路径有清晰认知。扣2分在于：对‘自身匹配点’的分析较为笼统，主要从规避风险和行业趋势角度论证，未结合个人专业技能、课程学习、项目经历等具体情况进行深入匹配分析。</t>
        </is>
      </c>
      <c r="I241" s="10" t="inlineStr"/>
    </row>
    <row r="242">
      <c r="A242" s="13" t="inlineStr">
        <is>
          <t>202502210180</t>
        </is>
      </c>
      <c r="B242" s="13" t="inlineStr">
        <is>
          <t>刘星宇</t>
        </is>
      </c>
      <c r="C242" s="13" t="inlineStr">
        <is>
          <t>岗位认知与个人职业定位</t>
        </is>
      </c>
      <c r="D242" s="10" t="inlineStr">
        <is>
          <t>薪资与发展预期</t>
        </is>
      </c>
      <c r="E242" s="14" t="n">
        <v>10</v>
      </c>
      <c r="F242" s="14" t="n">
        <v>9</v>
      </c>
      <c r="G242" s="14" t="n">
        <v>1</v>
      </c>
      <c r="H242" s="10" t="inlineStr">
        <is>
          <t>薪资调研区分了一线、核心二三线及普通二三线城市，区间设定基本合理，并尝试结合公司类型（如提及华为、阿里）、产业支撑情况进行分析。发展预期（向专家、负责人进阶）清晰。扣1分在于：对‘层级差异’（如初级、高级工程师的薪资差异）的分析不够明确。</t>
        </is>
      </c>
      <c r="I242" s="10" t="inlineStr"/>
    </row>
    <row r="243">
      <c r="A243" s="13" t="inlineStr">
        <is>
          <t>202502210180</t>
        </is>
      </c>
      <c r="B243" s="13" t="inlineStr">
        <is>
          <t>刘星宇</t>
        </is>
      </c>
      <c r="C243" s="13" t="inlineStr">
        <is>
          <t>报告结构与表达规范</t>
        </is>
      </c>
      <c r="D243" s="10" t="inlineStr">
        <is>
          <t>结构完整性与论证</t>
        </is>
      </c>
      <c r="E243" s="14" t="n">
        <v>5</v>
      </c>
      <c r="F243" s="14" t="n">
        <v>5</v>
      </c>
      <c r="G243" s="14" t="n">
        <v>0</v>
      </c>
      <c r="H243" s="10" t="inlineStr">
        <is>
          <t>报告具备完整的标题层级和目录，从专业认知、行业分析、AI影响、个人定位层层递进，段落组织合理，各主要部分均能形成基本的论点-论据-结论闭环。</t>
        </is>
      </c>
      <c r="I243" s="10" t="inlineStr"/>
    </row>
    <row r="244">
      <c r="A244" s="13" t="inlineStr">
        <is>
          <t>202502210180</t>
        </is>
      </c>
      <c r="B244" s="13" t="inlineStr">
        <is>
          <t>刘星宇</t>
        </is>
      </c>
      <c r="C244" s="13" t="inlineStr">
        <is>
          <t>报告结构与表达规范</t>
        </is>
      </c>
      <c r="D244" s="10" t="inlineStr">
        <is>
          <t>语言表达与格式</t>
        </is>
      </c>
      <c r="E244" s="14" t="n">
        <v>5</v>
      </c>
      <c r="F244" s="14" t="n">
        <v>5</v>
      </c>
      <c r="G244" s="14" t="n">
        <v>0</v>
      </c>
      <c r="H244" s="10" t="inlineStr">
        <is>
          <t>全文表述准确、流畅，专业术语（如AIoT、RedCap、数字孪生）使用恰当。正文字数充足，格式规范，无明显语病或表达不清之处。</t>
        </is>
      </c>
      <c r="I244" s="10" t="inlineStr"/>
    </row>
    <row r="245">
      <c r="A245" s="13" t="inlineStr">
        <is>
          <t>202502210155</t>
        </is>
      </c>
      <c r="B245" s="13" t="inlineStr">
        <is>
          <t>张景沅</t>
        </is>
      </c>
      <c r="C245" s="13" t="inlineStr">
        <is>
          <t>职业缘起与认知</t>
        </is>
      </c>
      <c r="D245" s="10" t="inlineStr">
        <is>
          <t>职业缘起</t>
        </is>
      </c>
      <c r="E245" s="14" t="n">
        <v>31</v>
      </c>
      <c r="F245" s="14" t="n">
        <v>0</v>
      </c>
      <c r="G245" s="14" t="n">
        <v>31</v>
      </c>
      <c r="H245" s="10" t="inlineStr">
        <is>
          <t>完全未说明职业兴趣或目标（APP开发）的来源，如家庭环境、重大事件、过往经历、榜样力量等。此项内容缺失，故不得分。</t>
        </is>
      </c>
      <c r="I245" s="10" t="inlineStr"/>
    </row>
    <row r="246">
      <c r="A246" s="13" t="inlineStr">
        <is>
          <t>202502210155</t>
        </is>
      </c>
      <c r="B246" s="13" t="inlineStr">
        <is>
          <t>张景沅</t>
        </is>
      </c>
      <c r="C246" s="13" t="inlineStr">
        <is>
          <t>职业缘起与认知</t>
        </is>
      </c>
      <c r="D246" s="10" t="inlineStr">
        <is>
          <t>自我特征</t>
        </is>
      </c>
      <c r="E246" s="14" t="n">
        <v>8</v>
      </c>
      <c r="F246" s="14" t="n">
        <v>3</v>
      </c>
      <c r="G246" s="14" t="n">
        <v>5</v>
      </c>
      <c r="H246" s="10" t="inlineStr">
        <is>
          <t>提供了MBTI性格测试结果（INFJ）及简要分析，并提及表达能力为短板。但个人简介缺失，关键能力/性格特征的分析较为笼统，未结合360°评价等更多维度，且结论与后续目标岗位（APP开发）的关联性论证不足。扣5分。</t>
        </is>
      </c>
      <c r="I246" s="10" t="inlineStr"/>
    </row>
    <row r="247">
      <c r="A247" s="13" t="inlineStr">
        <is>
          <t>202502210155</t>
        </is>
      </c>
      <c r="B247" s="13" t="inlineStr">
        <is>
          <t>张景沅</t>
        </is>
      </c>
      <c r="C247" s="13" t="inlineStr">
        <is>
          <t>职业缘起与认知</t>
        </is>
      </c>
      <c r="D247" s="10" t="inlineStr">
        <is>
          <t>行业认知</t>
        </is>
      </c>
      <c r="E247" s="14" t="n">
        <v>7</v>
      </c>
      <c r="F247" s="14" t="n">
        <v>1</v>
      </c>
      <c r="G247" s="14" t="n">
        <v>6</v>
      </c>
      <c r="H247" s="10" t="inlineStr">
        <is>
          <t>仅简单提及物联网行业是“万物互联的时代”、“快速发展”、“人才需求量大”、“时代趋势”。未基于国家政策、行业研报、人物访谈等可靠信息进行现状与趋势分析，缺乏深度。扣6分。</t>
        </is>
      </c>
      <c r="I247" s="10" t="inlineStr"/>
    </row>
    <row r="248">
      <c r="A248" s="13" t="inlineStr">
        <is>
          <t>202502210155</t>
        </is>
      </c>
      <c r="B248" s="13" t="inlineStr">
        <is>
          <t>张景沅</t>
        </is>
      </c>
      <c r="C248" s="13" t="inlineStr">
        <is>
          <t>职业缘起与认知</t>
        </is>
      </c>
      <c r="D248" s="10" t="inlineStr">
        <is>
          <t>职业认知</t>
        </is>
      </c>
      <c r="E248" s="14" t="n">
        <v>7</v>
      </c>
      <c r="F248" s="14" t="n">
        <v>1</v>
      </c>
      <c r="G248" s="14" t="n">
        <v>6</v>
      </c>
      <c r="H248" s="10" t="inlineStr">
        <is>
          <t>仅列出目标岗位为“APP开发”，未分析该职业的人才供需、具体岗位职责、招聘需求（如技能要求）、职业素养等，也未体现对职业发展路径（如初级、高级、架构师等）的理解。扣6分。</t>
        </is>
      </c>
      <c r="I248" s="10" t="inlineStr"/>
    </row>
    <row r="249">
      <c r="A249" s="13" t="inlineStr">
        <is>
          <t>202502210155</t>
        </is>
      </c>
      <c r="B249" s="13" t="inlineStr">
        <is>
          <t>张景沅</t>
        </is>
      </c>
      <c r="C249" s="13" t="inlineStr">
        <is>
          <t>职业目标与能力基础</t>
        </is>
      </c>
      <c r="D249" s="10" t="inlineStr">
        <is>
          <t>学校与专业背景</t>
        </is>
      </c>
      <c r="E249" s="14" t="n">
        <v>5</v>
      </c>
      <c r="F249" s="14" t="n">
        <v>0</v>
      </c>
      <c r="G249" s="14" t="n">
        <v>5</v>
      </c>
      <c r="H249" s="10" t="inlineStr">
        <is>
          <t>完全未介绍所学专业、学校育人特色，也未说明其与职业目标（物联网行业APP开发）的相关性。此项内容缺失，故不得分。</t>
        </is>
      </c>
      <c r="I249" s="10" t="inlineStr"/>
    </row>
    <row r="250">
      <c r="A250" s="13" t="inlineStr">
        <is>
          <t>202502210155</t>
        </is>
      </c>
      <c r="B250" s="13" t="inlineStr">
        <is>
          <t>张景沅</t>
        </is>
      </c>
      <c r="C250" s="13" t="inlineStr">
        <is>
          <t>职业目标与能力基础</t>
        </is>
      </c>
      <c r="D250" s="10" t="inlineStr">
        <is>
          <t>专业能力</t>
        </is>
      </c>
      <c r="E250" s="14" t="n">
        <v>8</v>
      </c>
      <c r="F250" s="14" t="n">
        <v>2</v>
      </c>
      <c r="G250" s="14" t="n">
        <v>6</v>
      </c>
      <c r="H250" s="10" t="inlineStr">
        <is>
          <t>仅列举了HCIA AI证书一项，未提及成绩、科研成果、奖学金、关键课程等。对证书与目标岗位（APP开发）的匹配性说明不足（HCIA AI与物联网APP开发关联度需论证）。扣6分。</t>
        </is>
      </c>
      <c r="I250" s="10" t="inlineStr"/>
    </row>
    <row r="251">
      <c r="A251" s="13" t="inlineStr">
        <is>
          <t>202502210155</t>
        </is>
      </c>
      <c r="B251" s="13" t="inlineStr">
        <is>
          <t>张景沅</t>
        </is>
      </c>
      <c r="C251" s="13" t="inlineStr">
        <is>
          <t>职业目标与能力基础</t>
        </is>
      </c>
      <c r="D251" s="10" t="inlineStr">
        <is>
          <t>综合能力</t>
        </is>
      </c>
      <c r="E251" s="14" t="n">
        <v>6</v>
      </c>
      <c r="F251" s="14" t="n">
        <v>0</v>
      </c>
      <c r="G251" s="14" t="n">
        <v>6</v>
      </c>
      <c r="H251" s="10" t="inlineStr">
        <is>
          <t>未提及任何竞赛、学生工作、任职经历等内容，无法评估其对职业发展的支撑作用。此项内容缺失，故不得分。</t>
        </is>
      </c>
      <c r="I251" s="10" t="inlineStr"/>
    </row>
    <row r="252">
      <c r="A252" s="13" t="inlineStr">
        <is>
          <t>202502210155</t>
        </is>
      </c>
      <c r="B252" s="13" t="inlineStr">
        <is>
          <t>张景沅</t>
        </is>
      </c>
      <c r="C252" s="13" t="inlineStr">
        <is>
          <t>职业目标与能力基础</t>
        </is>
      </c>
      <c r="D252" s="10" t="inlineStr">
        <is>
          <t>实践能力</t>
        </is>
      </c>
      <c r="E252" s="14" t="n">
        <v>6</v>
      </c>
      <c r="F252" s="14" t="n">
        <v>1</v>
      </c>
      <c r="G252" s="14" t="n">
        <v>5</v>
      </c>
      <c r="H252" s="10" t="inlineStr">
        <is>
          <t>仅提及“利用假期寻找实习机会”的计划，未描述任何已完成的校园活动、社会实践或实习经历，也未说明已形成的可迁移能力与成果。扣5分。</t>
        </is>
      </c>
      <c r="I252" s="10" t="inlineStr"/>
    </row>
    <row r="253">
      <c r="A253" s="13" t="inlineStr">
        <is>
          <t>202502210155</t>
        </is>
      </c>
      <c r="B253" s="13" t="inlineStr">
        <is>
          <t>张景沅</t>
        </is>
      </c>
      <c r="C253" s="13" t="inlineStr">
        <is>
          <t>职业目标与能力基础</t>
        </is>
      </c>
      <c r="D253" s="10" t="inlineStr">
        <is>
          <t>短板提升计划</t>
        </is>
      </c>
      <c r="E253" s="14" t="n">
        <v>10</v>
      </c>
      <c r="F253" s="14" t="n">
        <v>0</v>
      </c>
      <c r="G253" s="14" t="n">
        <v>10</v>
      </c>
      <c r="H253" s="10" t="inlineStr">
        <is>
          <t>虽然识别了“表达能力”为短板，但未提出任何明确的提升目标（如达到何种水平）与可落地的具体对策（如参加演讲培训、加入辩论社等）。计划缺失，故不得分。</t>
        </is>
      </c>
      <c r="I253" s="10" t="inlineStr"/>
    </row>
    <row r="254">
      <c r="A254" s="13" t="inlineStr">
        <is>
          <t>202502210155</t>
        </is>
      </c>
      <c r="B254" s="13" t="inlineStr">
        <is>
          <t>张景沅</t>
        </is>
      </c>
      <c r="C254" s="13" t="inlineStr">
        <is>
          <t>职业目标与能力基础</t>
        </is>
      </c>
      <c r="D254" s="10" t="inlineStr">
        <is>
          <t>成长路径</t>
        </is>
      </c>
      <c r="E254" s="14" t="n">
        <v>15</v>
      </c>
      <c r="F254" s="14" t="n">
        <v>3</v>
      </c>
      <c r="G254" s="14" t="n">
        <v>12</v>
      </c>
      <c r="H254" s="10" t="inlineStr">
        <is>
          <t>划分了三个阶段，但目标极其模糊且不完整。“在校冲刺期”仅有考证和找实习意向，无具体学业或技能目标；“职场适应期”仅有薪资目标，无业务或技能成长目标；“职业发展期”目标描述空洞（“动手能力强、有上进心”非具体目标）。逻辑连贯性差，可执行性低。扣12分。</t>
        </is>
      </c>
      <c r="I254" s="10" t="inlineStr"/>
    </row>
    <row r="255">
      <c r="A255" s="13" t="inlineStr">
        <is>
          <t>202502210155</t>
        </is>
      </c>
      <c r="B255" s="13" t="inlineStr">
        <is>
          <t>张景沅</t>
        </is>
      </c>
      <c r="C255" s="13" t="inlineStr">
        <is>
          <t>动态调整与风险应对</t>
        </is>
      </c>
      <c r="D255" s="10" t="inlineStr">
        <is>
          <t>风险评估与应对策略</t>
        </is>
      </c>
      <c r="E255" s="14" t="n">
        <v>20</v>
      </c>
      <c r="F255" s="14" t="n">
        <v>0</v>
      </c>
      <c r="G255" s="14" t="n">
        <v>20</v>
      </c>
      <c r="H255" s="10" t="inlineStr">
        <is>
          <t>完全未识别职业路径中的主要风险，未给出任何评估周期、应对策略或备选职业方案。未能体现规划的弹性与前瞻性。此项内容缺失，故不得分。</t>
        </is>
      </c>
      <c r="I255" s="10" t="inlineStr"/>
    </row>
    <row r="256">
      <c r="A256" s="13" t="inlineStr">
        <is>
          <t>202502210160</t>
        </is>
      </c>
      <c r="B256" s="13" t="inlineStr">
        <is>
          <t>谢烁宇</t>
        </is>
      </c>
      <c r="C256" s="13" t="inlineStr">
        <is>
          <t>行业与专业匹配的宏观分析</t>
        </is>
      </c>
      <c r="D256" s="10" t="inlineStr">
        <is>
          <t>行业现状梳理</t>
        </is>
      </c>
      <c r="E256" s="14" t="n">
        <v>15</v>
      </c>
      <c r="F256" s="14" t="n">
        <v>15</v>
      </c>
      <c r="G256" s="14" t="n">
        <v>0</v>
      </c>
      <c r="H256" s="10" t="inlineStr">
        <is>
          <t>从行业规模、细分赛道、核心玩家、技术应用、人才市场、挑战等多个维度进行了全面梳理。数据来源明确（工信部、IDC、Gartner等），信息可信度高，分析深入。</t>
        </is>
      </c>
      <c r="I256" s="10" t="inlineStr"/>
    </row>
    <row r="257">
      <c r="A257" s="13" t="inlineStr">
        <is>
          <t>202502210160</t>
        </is>
      </c>
      <c r="B257" s="13" t="inlineStr">
        <is>
          <t>谢烁宇</t>
        </is>
      </c>
      <c r="C257" s="13" t="inlineStr">
        <is>
          <t>行业与专业匹配的宏观分析</t>
        </is>
      </c>
      <c r="D257" s="10" t="inlineStr">
        <is>
          <t>行业趋势判断</t>
        </is>
      </c>
      <c r="E257" s="14" t="n">
        <v>20</v>
      </c>
      <c r="F257" s="14" t="n">
        <v>20</v>
      </c>
      <c r="G257" s="14" t="n">
        <v>0</v>
      </c>
      <c r="H257" s="10" t="inlineStr">
        <is>
          <t>从技术融合（AIoT、5G-A/6G）、市场需求（工业、医疗、能源）、政策（低空经济、车联网）、人才（复合型、安全）及资本（产业整合）等多个角度分析了未来趋势。逻辑链条清晰，有具体数据（如AIoT市场规模、人才缺口）和报告来源作为证据支撑，判断合理。</t>
        </is>
      </c>
      <c r="I257" s="10" t="inlineStr"/>
    </row>
    <row r="258">
      <c r="A258" s="13" t="inlineStr">
        <is>
          <t>202502210160</t>
        </is>
      </c>
      <c r="B258" s="13" t="inlineStr">
        <is>
          <t>谢烁宇</t>
        </is>
      </c>
      <c r="C258" s="13" t="inlineStr">
        <is>
          <t>AI 对行业影响的辩证分析</t>
        </is>
      </c>
      <c r="D258" s="10" t="inlineStr">
        <is>
          <t>正面影响</t>
        </is>
      </c>
      <c r="E258" s="14" t="n">
        <v>15</v>
      </c>
      <c r="F258" s="14" t="n">
        <v>15</v>
      </c>
      <c r="G258" s="14" t="n">
        <v>0</v>
      </c>
      <c r="H258" s="10" t="inlineStr">
        <is>
          <t>从学习实践、技术研发、行业落地、人才就业四大维度，结合具体工具（TensorFlow Lite、Edge Impulse）和场景（智能家居能耗降低、工业预测性维护）分析了AI如何提升效率、质量和创造新价值。价值量化（如效率提升10倍、能耗降低15%-20%）合理且有数据支撑。</t>
        </is>
      </c>
      <c r="I258" s="10" t="inlineStr"/>
    </row>
    <row r="259">
      <c r="A259" s="13" t="inlineStr">
        <is>
          <t>202502210160</t>
        </is>
      </c>
      <c r="B259" s="13" t="inlineStr">
        <is>
          <t>谢烁宇</t>
        </is>
      </c>
      <c r="C259" s="13" t="inlineStr">
        <is>
          <t>AI 对行业影响的辩证分析</t>
        </is>
      </c>
      <c r="D259" s="10" t="inlineStr">
        <is>
          <t>负面影响与风险</t>
        </is>
      </c>
      <c r="E259" s="14" t="n">
        <v>15</v>
      </c>
      <c r="F259" s="14" t="n">
        <v>15</v>
      </c>
      <c r="G259" s="14" t="n">
        <v>0</v>
      </c>
      <c r="H259" s="10" t="inlineStr">
        <is>
          <t>系统讨论了学习能力弱化、技术安全隐患（代码漏洞、黑箱效应）、行业落地壁垒（成本、生态割裂）、岗位替代与人才分化、伦理合规风险（隐私、偏见）等五大方面。风险识别准确，并针对性地提出了“人机协同”、建立审核机制、推动标准化等缓解建议，分析深入。</t>
        </is>
      </c>
      <c r="I259" s="10" t="inlineStr"/>
    </row>
    <row r="260">
      <c r="A260" s="13" t="inlineStr">
        <is>
          <t>202502210160</t>
        </is>
      </c>
      <c r="B260" s="13" t="inlineStr">
        <is>
          <t>谢烁宇</t>
        </is>
      </c>
      <c r="C260" s="13" t="inlineStr">
        <is>
          <t>岗位认知与个人职业定位</t>
        </is>
      </c>
      <c r="D260" s="10" t="inlineStr">
        <is>
          <t>岗位选择与职责理解</t>
        </is>
      </c>
      <c r="E260" s="14" t="n">
        <v>15</v>
      </c>
      <c r="F260" s="14" t="n">
        <v>15</v>
      </c>
      <c r="G260" s="14" t="n">
        <v>0</v>
      </c>
      <c r="H260" s="10" t="inlineStr">
        <is>
          <t>明确提出“嵌入式开发工程师”作为目标岗位，并结合专业分析了嵌入式开发在物联网中的核心地位。对岗位所需技能（STM32、RTOS、C/Python）、成长路径（从基础到项目到实习）以及自身匹配点（大一打基础、大二深耕技能）有清晰且深刻的理解。</t>
        </is>
      </c>
      <c r="I260" s="10" t="inlineStr"/>
    </row>
    <row r="261">
      <c r="A261" s="13" t="inlineStr">
        <is>
          <t>202502210160</t>
        </is>
      </c>
      <c r="B261" s="13" t="inlineStr">
        <is>
          <t>谢烁宇</t>
        </is>
      </c>
      <c r="C261" s="13" t="inlineStr">
        <is>
          <t>岗位认知与个人职业定位</t>
        </is>
      </c>
      <c r="D261" s="10" t="inlineStr">
        <is>
          <t>薪资与发展预期</t>
        </is>
      </c>
      <c r="E261" s="14" t="n">
        <v>10</v>
      </c>
      <c r="F261" s="14" t="n">
        <v>10</v>
      </c>
      <c r="G261" s="14" t="n">
        <v>0</v>
      </c>
      <c r="H261" s="10" t="inlineStr">
        <is>
          <t>薪资区间（如引用阿里云、海康威视数据）合理，并能结合地域（北上广深集中高薪岗位）、公司类型（头部企业vs中小企业）和岗位层级（应届生、资深工程师）进行差异分析。个人四年发展规划清晰，发展预期（瞄准AIoT、工业物联网风口）明确。</t>
        </is>
      </c>
      <c r="I261" s="10" t="inlineStr"/>
    </row>
    <row r="262">
      <c r="A262" s="13" t="inlineStr">
        <is>
          <t>202502210160</t>
        </is>
      </c>
      <c r="B262" s="13" t="inlineStr">
        <is>
          <t>谢烁宇</t>
        </is>
      </c>
      <c r="C262" s="13" t="inlineStr">
        <is>
          <t>报告结构与表达规范</t>
        </is>
      </c>
      <c r="D262" s="10" t="inlineStr">
        <is>
          <t>结构完整性与论证</t>
        </is>
      </c>
      <c r="E262" s="14" t="n">
        <v>5</v>
      </c>
      <c r="F262" s="14" t="n">
        <v>5</v>
      </c>
      <c r="G262" s="14" t="n">
        <v>0</v>
      </c>
      <c r="H262" s="10" t="inlineStr">
        <is>
          <t>标题层级清晰（从专业认知到行业分析，再到AI影响和个人规划），段落组织合理。每个部分均有明确的论点、详实的论据（数据、案例）和结论，形成了完整的论证闭环。</t>
        </is>
      </c>
      <c r="I262" s="10" t="inlineStr"/>
    </row>
    <row r="263">
      <c r="A263" s="13" t="inlineStr">
        <is>
          <t>202502210160</t>
        </is>
      </c>
      <c r="B263" s="13" t="inlineStr">
        <is>
          <t>谢烁宇</t>
        </is>
      </c>
      <c r="C263" s="13" t="inlineStr">
        <is>
          <t>报告结构与表达规范</t>
        </is>
      </c>
      <c r="D263" s="10" t="inlineStr">
        <is>
          <t>语言表达与格式</t>
        </is>
      </c>
      <c r="E263" s="14" t="n">
        <v>5</v>
      </c>
      <c r="F263" s="14" t="n">
        <v>5</v>
      </c>
      <c r="G263" s="14" t="n">
        <v>0</v>
      </c>
      <c r="H263" s="10" t="inlineStr">
        <is>
          <t>表述准确、专业、流畅，术语使用恰当。报告正文内容丰富，字数远超基本要求，格式规范，图表和数据引用清晰。</t>
        </is>
      </c>
      <c r="I263" s="10" t="inlineStr"/>
    </row>
    <row r="264">
      <c r="A264" s="13" t="inlineStr">
        <is>
          <t>202502210109</t>
        </is>
      </c>
      <c r="B264" s="13" t="inlineStr">
        <is>
          <t>李昕锐</t>
        </is>
      </c>
      <c r="C264" s="13" t="inlineStr">
        <is>
          <t>行业与专业匹配的宏观分析</t>
        </is>
      </c>
      <c r="D264" s="10" t="inlineStr">
        <is>
          <t>行业现状梳理</t>
        </is>
      </c>
      <c r="E264" s="14" t="n">
        <v>15</v>
      </c>
      <c r="F264" s="14" t="n">
        <v>8</v>
      </c>
      <c r="G264" s="14" t="n">
        <v>7</v>
      </c>
      <c r="H264" s="10" t="inlineStr">
        <is>
          <t>扣7分。报告提及了行业阶段、产业链构成和主要玩家类型，但未提供具体的行业规模数据、核心玩家实例或明确的痛点与机会分析。信息来源未作说明，缺乏可信度支撑，内容较为笼统。</t>
        </is>
      </c>
      <c r="I264" s="10" t="inlineStr"/>
    </row>
    <row r="265">
      <c r="A265" s="13" t="inlineStr">
        <is>
          <t>202502210109</t>
        </is>
      </c>
      <c r="B265" s="13" t="inlineStr">
        <is>
          <t>李昕锐</t>
        </is>
      </c>
      <c r="C265" s="13" t="inlineStr">
        <is>
          <t>行业与专业匹配的宏观分析</t>
        </is>
      </c>
      <c r="D265" s="10" t="inlineStr">
        <is>
          <t>行业趋势判断</t>
        </is>
      </c>
      <c r="E265" s="14" t="n">
        <v>20</v>
      </c>
      <c r="F265" s="14" t="n">
        <v>12</v>
      </c>
      <c r="G265" s="14" t="n">
        <v>8</v>
      </c>
      <c r="H265" s="10" t="inlineStr">
        <is>
          <t>扣8分。报告从技术融合（AIoT、数字孪生、6G）和应用领域（工业、城市、农业等）角度指出了趋势，并提及了政策驱动。但分析多停留在现象列举，从技术、市场、政策、人才、资本等多角度展开的逻辑链条不完整，缺乏具体的证据或数据支撑其判断。</t>
        </is>
      </c>
      <c r="I265" s="10" t="inlineStr"/>
    </row>
    <row r="266">
      <c r="A266" s="13" t="inlineStr">
        <is>
          <t>202502210109</t>
        </is>
      </c>
      <c r="B266" s="13" t="inlineStr">
        <is>
          <t>李昕锐</t>
        </is>
      </c>
      <c r="C266" s="13" t="inlineStr">
        <is>
          <t>AI 对行业影响的辩证分析</t>
        </is>
      </c>
      <c r="D266" s="10" t="inlineStr">
        <is>
          <t>正面影响</t>
        </is>
      </c>
      <c r="E266" s="14" t="n">
        <v>15</v>
      </c>
      <c r="F266" s="14" t="n">
        <v>11</v>
      </c>
      <c r="G266" s="14" t="n">
        <v>4</v>
      </c>
      <c r="H266" s="10" t="inlineStr">
        <is>
          <t>扣4分。报告正确指出了AI推动物联网从‘连接’到‘认知’的范式转变，并提及了‘自主决策’、‘价值重构’等宏观正面影响。但缺乏具体的应用场景实例（如具体如何提升效率），也未能对提升的价值（如效率提升百分比、成本节约额度）进行合理量化分析，论述偏宏观。</t>
        </is>
      </c>
      <c r="I266" s="10" t="inlineStr"/>
    </row>
    <row r="267">
      <c r="A267" s="13" t="inlineStr">
        <is>
          <t>202502210109</t>
        </is>
      </c>
      <c r="B267" s="13" t="inlineStr">
        <is>
          <t>李昕锐</t>
        </is>
      </c>
      <c r="C267" s="13" t="inlineStr">
        <is>
          <t>AI 对行业影响的辩证分析</t>
        </is>
      </c>
      <c r="D267" s="10" t="inlineStr">
        <is>
          <t>负面影响与风险</t>
        </is>
      </c>
      <c r="E267" s="14" t="n">
        <v>15</v>
      </c>
      <c r="F267" s="14" t="n">
        <v>10</v>
      </c>
      <c r="G267" s="14" t="n">
        <v>5</v>
      </c>
      <c r="H267" s="10" t="inlineStr">
        <is>
          <t>扣5分。报告提到了对从业者知识体系的挑战（可视为广义的岗位替代压力），但未系统讨论AIoT可能带来的具体岗位替代、伦理合规、隐私、算法偏见、实施与维护成本等风险。提出的‘主动拥抱变革’更多是态度建议，而非具体、可操作的缓解风险措施。</t>
        </is>
      </c>
      <c r="I267" s="10" t="inlineStr"/>
    </row>
    <row r="268">
      <c r="A268" s="13" t="inlineStr">
        <is>
          <t>202502210109</t>
        </is>
      </c>
      <c r="B268" s="13" t="inlineStr">
        <is>
          <t>李昕锐</t>
        </is>
      </c>
      <c r="C268" s="13" t="inlineStr">
        <is>
          <t>岗位认知与个人职业定位</t>
        </is>
      </c>
      <c r="D268" s="10" t="inlineStr">
        <is>
          <t>岗位选择与职责理解</t>
        </is>
      </c>
      <c r="E268" s="14" t="n">
        <v>15</v>
      </c>
      <c r="F268" s="14" t="n">
        <v>9</v>
      </c>
      <c r="G268" s="14" t="n">
        <v>6</v>
      </c>
      <c r="H268" s="10" t="inlineStr">
        <is>
          <t>扣6分。报告列举了多个热门物联网岗位方向，并隐含了所需技术栈。但未针对任何一个具体岗位说明其核心职责、明确的能力要求（除技术外，如项目管理、业务理解等）、典型的职业成长路径，也完全未分析自身（作为学生）与这些岗位的匹配点（如已掌握技能、兴趣方向、待提升领域）。</t>
        </is>
      </c>
      <c r="I268" s="10" t="inlineStr"/>
    </row>
    <row r="269">
      <c r="A269" s="13" t="inlineStr">
        <is>
          <t>202502210109</t>
        </is>
      </c>
      <c r="B269" s="13" t="inlineStr">
        <is>
          <t>李昕锐</t>
        </is>
      </c>
      <c r="C269" s="13" t="inlineStr">
        <is>
          <t>岗位认知与个人职业定位</t>
        </is>
      </c>
      <c r="D269" s="10" t="inlineStr">
        <is>
          <t>薪资与发展预期</t>
        </is>
      </c>
      <c r="E269" s="14" t="n">
        <v>10</v>
      </c>
      <c r="F269" s="14" t="n">
        <v>5</v>
      </c>
      <c r="G269" s="14" t="n">
        <v>5</v>
      </c>
      <c r="H269" s="10" t="inlineStr">
        <is>
          <t>扣5分。仅有一处提及‘物联网安全领域薪资比普通IT岗高50%’，未给出合理的薪资区间。完全未结合地域（如一线与二三线城市）、公司类型（如互联网大厂、制造业企业、初创公司）、职位层级（如初级、高级、专家）进行差异化分析，发展预期（短期、中期、长期目标）也未清晰阐述。</t>
        </is>
      </c>
      <c r="I269" s="10" t="inlineStr"/>
    </row>
    <row r="270">
      <c r="A270" s="13" t="inlineStr">
        <is>
          <t>202502210109</t>
        </is>
      </c>
      <c r="B270" s="13" t="inlineStr">
        <is>
          <t>李昕锐</t>
        </is>
      </c>
      <c r="C270" s="13" t="inlineStr">
        <is>
          <t>报告结构与表达规范</t>
        </is>
      </c>
      <c r="D270" s="10" t="inlineStr">
        <is>
          <t>结构完整性与论证</t>
        </is>
      </c>
      <c r="E270" s="14" t="n">
        <v>5</v>
      </c>
      <c r="F270" s="14" t="n">
        <v>3</v>
      </c>
      <c r="G270" s="14" t="n">
        <v>2</v>
      </c>
      <c r="H270" s="10" t="inlineStr">
        <is>
          <t>扣2分。报告有标题，但内容组织更像随笔感想而非结构化的分析报告。段落间逻辑衔接不强，缺乏清晰的‘论点-论据-结论’论证闭环。例如，行业分析部分混杂了专业介绍，AI影响部分未严格区分正反面进行论证。</t>
        </is>
      </c>
      <c r="I270" s="10" t="inlineStr"/>
    </row>
    <row r="271">
      <c r="A271" s="13" t="inlineStr">
        <is>
          <t>202502210109</t>
        </is>
      </c>
      <c r="B271" s="13" t="inlineStr">
        <is>
          <t>李昕锐</t>
        </is>
      </c>
      <c r="C271" s="13" t="inlineStr">
        <is>
          <t>报告结构与表达规范</t>
        </is>
      </c>
      <c r="D271" s="10" t="inlineStr">
        <is>
          <t>语言表达与格式</t>
        </is>
      </c>
      <c r="E271" s="14" t="n">
        <v>5</v>
      </c>
      <c r="F271" s="14" t="n">
        <v>3</v>
      </c>
      <c r="G271" s="14" t="n">
        <v>2</v>
      </c>
      <c r="H271" s="10" t="inlineStr">
        <is>
          <t>扣2分。语言表述总体流畅，术语使用基本恰当。但部分表述偏重文学渲染（如‘智能物种’、‘历史性机遇’），影响了分析报告的客观性。最主要问题是正文字数明显不足，导致各部分分析都无法充分展开，据此扣分。</t>
        </is>
      </c>
      <c r="I271" s="10" t="inlineStr"/>
    </row>
    <row r="272">
      <c r="A272" s="13" t="inlineStr">
        <is>
          <t>202502210094</t>
        </is>
      </c>
      <c r="B272" s="13" t="inlineStr">
        <is>
          <t>李泽宇</t>
        </is>
      </c>
      <c r="C272" s="13" t="inlineStr">
        <is>
          <t>行业与专业匹配的宏观分析</t>
        </is>
      </c>
      <c r="D272" s="10" t="inlineStr">
        <is>
          <t>行业现状梳理</t>
        </is>
      </c>
      <c r="E272" s="14" t="n">
        <v>15</v>
      </c>
      <c r="F272" s="14" t="n">
        <v>8</v>
      </c>
      <c r="G272" s="14" t="n">
        <v>7</v>
      </c>
      <c r="H272" s="10" t="inlineStr">
        <is>
          <t>扣分原因：1. 说明了行业规模（4.55万亿）和企业数量（32万家），但信息来源未明确标注，可信度存疑。2. 提到了主要赛道（工业物联网、智慧城市）和部分头部企业（中国移动、中国电信），但未系统梳理核心玩家生态。3. 对当前行业痛点（如安全、互联互通）虽有提及，但未展开说明，机会分析薄弱。整体梳理不够系统、全面。</t>
        </is>
      </c>
      <c r="I272" s="10" t="inlineStr"/>
    </row>
    <row r="273">
      <c r="A273" s="13" t="inlineStr">
        <is>
          <t>202502210094</t>
        </is>
      </c>
      <c r="B273" s="13" t="inlineStr">
        <is>
          <t>李泽宇</t>
        </is>
      </c>
      <c r="C273" s="13" t="inlineStr">
        <is>
          <t>行业与专业匹配的宏观分析</t>
        </is>
      </c>
      <c r="D273" s="10" t="inlineStr">
        <is>
          <t>行业趋势判断</t>
        </is>
      </c>
      <c r="E273" s="14" t="n">
        <v>20</v>
      </c>
      <c r="F273" s="14" t="n">
        <v>14</v>
      </c>
      <c r="G273" s="14" t="n">
        <v>6</v>
      </c>
      <c r="H273" s="10" t="inlineStr">
        <is>
          <t>扣分原因：1. 从技术（AI融合、5G-A）、市场（价值分布）、政策（提及支持）等角度进行了趋势分析。2. 逻辑链条基本清晰，如指出传输层潜力与通信技术发展的关系。3. 主要扣分点在于证据支撑稍显笼统，例如对人才、资本等趋势角度的分析缺失或不够深入，部分判断缺乏具体数据或案例佐证。</t>
        </is>
      </c>
      <c r="I273" s="10" t="inlineStr"/>
    </row>
    <row r="274">
      <c r="A274" s="13" t="inlineStr">
        <is>
          <t>202502210094</t>
        </is>
      </c>
      <c r="B274" s="13" t="inlineStr">
        <is>
          <t>李泽宇</t>
        </is>
      </c>
      <c r="C274" s="13" t="inlineStr">
        <is>
          <t>AI 对行业影响的辩证分析</t>
        </is>
      </c>
      <c r="D274" s="10" t="inlineStr">
        <is>
          <t>正面影响</t>
        </is>
      </c>
      <c r="E274" s="14" t="n">
        <v>15</v>
      </c>
      <c r="F274" s="14" t="n">
        <v>11</v>
      </c>
      <c r="G274" s="14" t="n">
        <v>4</v>
      </c>
      <c r="H274" s="10" t="inlineStr">
        <is>
          <t>扣分原因：1. 举出了工业预测性维护、城市智能调度、智能家居等具体场景，解释了AI如何提升效率与体验。2. 主要扣分点在于对价值的“合理量化”不足。报告使用了“极大地提升”、“更高效”等定性描述，但缺乏具体的量化指标（如效率提升百分比、成本节约额度等），量化分析薄弱。</t>
        </is>
      </c>
      <c r="I274" s="10" t="inlineStr"/>
    </row>
    <row r="275">
      <c r="A275" s="13" t="inlineStr">
        <is>
          <t>202502210094</t>
        </is>
      </c>
      <c r="B275" s="13" t="inlineStr">
        <is>
          <t>李泽宇</t>
        </is>
      </c>
      <c r="C275" s="13" t="inlineStr">
        <is>
          <t>AI 对行业影响的辩证分析</t>
        </is>
      </c>
      <c r="D275" s="10" t="inlineStr">
        <is>
          <t>负面影响与风险</t>
        </is>
      </c>
      <c r="E275" s="14" t="n">
        <v>15</v>
      </c>
      <c r="F275" s="14" t="n">
        <v>11</v>
      </c>
      <c r="G275" s="14" t="n">
        <v>4</v>
      </c>
      <c r="H275" s="10" t="inlineStr">
        <is>
          <t>扣分原因：1. 讨论了安全隐私、技术标准碎片化（数据孤岛）、成本门槛、岗位替代等风险，覆盖面较全。2. 主要扣分点在于“缓解建议”部分过于笼统和薄弱。报告仅提到“需要通过政策与教育予以审慎应对”，未针对所列风险提出具体、可操作的缓解措施或建议，深度不足。</t>
        </is>
      </c>
      <c r="I275" s="10" t="inlineStr"/>
    </row>
    <row r="276">
      <c r="A276" s="13" t="inlineStr">
        <is>
          <t>202502210094</t>
        </is>
      </c>
      <c r="B276" s="13" t="inlineStr">
        <is>
          <t>李泽宇</t>
        </is>
      </c>
      <c r="C276" s="13" t="inlineStr">
        <is>
          <t>岗位认知与个人职业定位</t>
        </is>
      </c>
      <c r="D276" s="10" t="inlineStr">
        <is>
          <t>岗位选择与职责理解</t>
        </is>
      </c>
      <c r="E276" s="14" t="n">
        <v>15</v>
      </c>
      <c r="F276" s="14" t="n">
        <v>10</v>
      </c>
      <c r="G276" s="14" t="n">
        <v>5</v>
      </c>
      <c r="H276" s="10" t="inlineStr">
        <is>
          <t>扣分原因：1. 结合专业提出了“嵌入式工程师”岗位。2. 说明了所需技能（C/C++、ARM、RTOS、通信协议等），但未清晰、系统地阐述该岗位的核心“职责”是什么。3. 对“能力要求”的罗列偏向技能清单，对“成长路径”（如从初级到高级、技术专家或管理路线）描述缺失。4. 对“自身匹配点”的分析几乎缺失，未结合个人情况说明为何适合此岗位。理解不够深入和个性化。</t>
        </is>
      </c>
      <c r="I276" s="10" t="inlineStr"/>
    </row>
    <row r="277">
      <c r="A277" s="13" t="inlineStr">
        <is>
          <t>202502210094</t>
        </is>
      </c>
      <c r="B277" s="13" t="inlineStr">
        <is>
          <t>李泽宇</t>
        </is>
      </c>
      <c r="C277" s="13" t="inlineStr">
        <is>
          <t>岗位认知与个人职业定位</t>
        </is>
      </c>
      <c r="D277" s="10" t="inlineStr">
        <is>
          <t>薪资与发展预期</t>
        </is>
      </c>
      <c r="E277" s="14" t="n">
        <v>10</v>
      </c>
      <c r="F277" s="14" t="n">
        <v>7</v>
      </c>
      <c r="G277" s="14" t="n">
        <v>3</v>
      </c>
      <c r="H277" s="10" t="inlineStr">
        <is>
          <t>扣分原因：1. 薪资区间（结合一线、新一线、二三线城市）分析合理，且提到了技术方向的影响。2. 主要扣分点在于“发展预期清晰”这一要求未充分满足。报告仅描述了入门薪资及短期（一年后）变化，对中长期（如3-5年、10年）的职业发展预期、可能的职位晋升或技术深化方向缺乏清晰描述和分析。</t>
        </is>
      </c>
      <c r="I277" s="10" t="inlineStr"/>
    </row>
    <row r="278">
      <c r="A278" s="13" t="inlineStr">
        <is>
          <t>202502210094</t>
        </is>
      </c>
      <c r="B278" s="13" t="inlineStr">
        <is>
          <t>李泽宇</t>
        </is>
      </c>
      <c r="C278" s="13" t="inlineStr">
        <is>
          <t>报告结构与表达规范</t>
        </is>
      </c>
      <c r="D278" s="10" t="inlineStr">
        <is>
          <t>结构完整性与论证</t>
        </is>
      </c>
      <c r="E278" s="14" t="n">
        <v>5</v>
      </c>
      <c r="F278" s="14" t="n">
        <v>4</v>
      </c>
      <c r="G278" s="14" t="n">
        <v>1</v>
      </c>
      <c r="H278" s="10" t="inlineStr">
        <is>
          <t>扣分原因：1. 标题层级基本清晰，包含了主要分析部分。2. 段落组织大体合理，但开头部分（入学感受、专业介绍）与核心分析部分的衔接可以更紧密，结构稍显松散。3. 各部分内部基本能形成论点-论据-结论的闭环，但论证深度不一。扣1分。</t>
        </is>
      </c>
      <c r="I278" s="10" t="inlineStr"/>
    </row>
    <row r="279">
      <c r="A279" s="13" t="inlineStr">
        <is>
          <t>202502210094</t>
        </is>
      </c>
      <c r="B279" s="13" t="inlineStr">
        <is>
          <t>李泽宇</t>
        </is>
      </c>
      <c r="C279" s="13" t="inlineStr">
        <is>
          <t>报告结构与表达规范</t>
        </is>
      </c>
      <c r="D279" s="10" t="inlineStr">
        <is>
          <t>语言表达与格式</t>
        </is>
      </c>
      <c r="E279" s="14" t="n">
        <v>5</v>
      </c>
      <c r="F279" s="14" t="n">
        <v>3</v>
      </c>
      <c r="G279" s="14" t="n">
        <v>2</v>
      </c>
      <c r="H279" s="10" t="inlineStr">
        <is>
          <t>扣分原因：1. 表述基本流畅，术语使用大体恰当。2. 存在明显的口语化表达（如“得力的‘智慧管家’”、“悄悄融入”），影响了报告的严谨性。3. 根据评分标准“若正文字数明显不足需据此扣分”。作业要求正文不少于2000字，但学生作业正文（去除指令性文字）经估算明显不足2000字，字数要求未满足。据此扣2分。</t>
        </is>
      </c>
      <c r="I279" s="10" t="inlineStr"/>
    </row>
  </sheetData>
  <conditionalFormatting sqref="A2:I279">
    <cfRule type="expression" priority="1" dxfId="0">
      <formula>MOD(ROW(),2)=0</formula>
    </cfRule>
  </conditionalFormatting>
  <pageMargins left="0.75" right="0.75" top="1" bottom="1"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B13"/>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56" customWidth="1" min="2" max="2"/>
  </cols>
  <sheetData>
    <row r="1" ht="24" customHeight="1">
      <c r="A1" s="12" t="inlineStr">
        <is>
          <t>字段</t>
        </is>
      </c>
      <c r="B1" s="12" t="inlineStr">
        <is>
          <t>值</t>
        </is>
      </c>
    </row>
    <row r="2">
      <c r="A2" s="13" t="inlineStr">
        <is>
          <t>批次ID</t>
        </is>
      </c>
      <c r="B2" s="10" t="inlineStr">
        <is>
          <t>batch-20260107-165422-usflhp</t>
        </is>
      </c>
    </row>
    <row r="3">
      <c r="A3" s="13" t="inlineStr">
        <is>
          <t>目标满分</t>
        </is>
      </c>
      <c r="B3" s="10" t="inlineStr">
        <is>
          <t>60.0</t>
        </is>
      </c>
    </row>
    <row r="4">
      <c r="A4" s="13" t="inlineStr">
        <is>
          <t>规则满分（可能多值）</t>
        </is>
      </c>
      <c r="B4" s="10" t="inlineStr">
        <is>
          <t>100.0 / 123.0</t>
        </is>
      </c>
    </row>
    <row r="5">
      <c r="A5" s="13" t="inlineStr">
        <is>
          <t>模型列表</t>
        </is>
      </c>
      <c r="B5" s="10" t="inlineStr">
        <is>
          <t>deepseek-ai/DeepSeek-V3.2@https://api.siliconflow.cn/v1/chat/completions；deepseek-ai/DeepSeek-V3.2@https://api.siliconflow.cn/v1/chat/completions</t>
        </is>
      </c>
    </row>
    <row r="6">
      <c r="A6" s="13" t="inlineStr">
        <is>
          <t>聚合算法</t>
        </is>
      </c>
      <c r="B6" s="10" t="inlineStr">
        <is>
          <t>平均分（成功模型）</t>
        </is>
      </c>
    </row>
    <row r="7">
      <c r="A7" s="13" t="inlineStr">
        <is>
          <t>多模型总体评语</t>
        </is>
      </c>
      <c r="B7" s="10" t="inlineStr">
        <is>
          <t>启用多模型时，会用主模型二次生成总体评语（JSON）</t>
        </is>
      </c>
    </row>
    <row r="8">
      <c r="A8" s="13" t="inlineStr">
        <is>
          <t>并发限制</t>
        </is>
      </c>
      <c r="B8" s="10" t="inlineStr">
        <is>
          <t>文件=5；模型=2/接口；单次超时=300秒；重试=3次</t>
        </is>
      </c>
    </row>
    <row r="9">
      <c r="A9" s="13" t="inlineStr">
        <is>
          <t>文件总数</t>
        </is>
      </c>
      <c r="B9" s="10" t="inlineStr">
        <is>
          <t>38</t>
        </is>
      </c>
    </row>
    <row r="10">
      <c r="A10" s="13" t="inlineStr">
        <is>
          <t>成功数</t>
        </is>
      </c>
      <c r="B10" s="10" t="inlineStr">
        <is>
          <t>28</t>
        </is>
      </c>
    </row>
    <row r="11">
      <c r="A11" s="13" t="inlineStr">
        <is>
          <t>失败数</t>
        </is>
      </c>
      <c r="B11" s="10" t="inlineStr">
        <is>
          <t>10</t>
        </is>
      </c>
    </row>
    <row r="12">
      <c r="A12" s="13" t="inlineStr">
        <is>
          <t>平均分（目标满分制）</t>
        </is>
      </c>
      <c r="B12" s="10" t="inlineStr">
        <is>
          <t>51.57</t>
        </is>
      </c>
    </row>
    <row r="13">
      <c r="A13" s="13" t="inlineStr">
        <is>
          <t>平均规则分</t>
        </is>
      </c>
      <c r="B13" s="10" t="inlineStr">
        <is>
          <t>57.07</t>
        </is>
      </c>
    </row>
  </sheetData>
  <conditionalFormatting sqref="A2:B13">
    <cfRule type="expression" priority="1" dxfId="0">
      <formula>MOD(ROW(),2)=0</formula>
    </cfRule>
  </conditionalFormatting>
  <pageMargins left="0.75" right="0.75" top="1" bottom="1" header="0.5" footer="0.5"/>
  <pageSetup orientation="portrait"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C2"/>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10" customWidth="1" min="2" max="2"/>
    <col width="23.6" customWidth="1" min="3" max="3"/>
  </cols>
  <sheetData>
    <row r="1" ht="24" customHeight="1">
      <c r="A1" s="12" t="inlineStr">
        <is>
          <t>错误类型</t>
        </is>
      </c>
      <c r="B1" s="12" t="inlineStr">
        <is>
          <t>数量</t>
        </is>
      </c>
      <c r="C1" s="12" t="inlineStr">
        <is>
          <t>占比</t>
        </is>
      </c>
    </row>
    <row r="2">
      <c r="A2" s="13" t="inlineStr">
        <is>
          <t>解析校验错误</t>
        </is>
      </c>
      <c r="B2" s="13" t="n">
        <v>10</v>
      </c>
      <c r="C2" s="15">
        <f>B2/SUM($B$2:$B$2)</f>
        <v/>
      </c>
    </row>
  </sheetData>
  <conditionalFormatting sqref="A2:C2">
    <cfRule type="expression" priority="1" dxfId="0">
      <formula>MOD(ROW(),2)=0</formula>
    </cfRule>
  </conditionalFormatting>
  <conditionalFormatting sqref="B2">
    <cfRule type="expression" priority="2" dxfId="4">
      <formula>TRUE</formula>
    </cfRule>
  </conditionalFormatting>
  <pageMargins left="0.75" right="0.75" top="1" bottom="1" header="0.5" footer="0.5"/>
  <pageSetup orientation="portrait"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2026-01-07T09:25:29Z</dcterms:created>
  <dcterms:modified xmlns:dcterms="http://purl.org/dc/terms/" xmlns:xsi="http://www.w3.org/2001/XMLSchema-instance" xsi:type="dcterms:W3CDTF">2026-01-07T09:25:29Z</dcterms:modified>
</cp:coreProperties>
</file>