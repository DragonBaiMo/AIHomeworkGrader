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按学号汇总" sheetId="3" state="visible" r:id="rId3"/>
    <sheet xmlns:r="http://schemas.openxmlformats.org/officeDocument/2006/relationships" name="成绩总览" sheetId="4" state="visible" r:id="rId4"/>
    <sheet xmlns:r="http://schemas.openxmlformats.org/officeDocument/2006/relationships" name="批改模型结果（宽表）" sheetId="5" state="visible" r:id="rId5"/>
    <sheet xmlns:r="http://schemas.openxmlformats.org/officeDocument/2006/relationships" name="维度汇总" sheetId="6" state="visible" r:id="rId6"/>
    <sheet xmlns:r="http://schemas.openxmlformats.org/officeDocument/2006/relationships" name="细则明细" sheetId="7" state="visible" r:id="rId7"/>
    <sheet xmlns:r="http://schemas.openxmlformats.org/officeDocument/2006/relationships" name="批次总览" sheetId="8" state="visible" r:id="rId8"/>
    <sheet xmlns:r="http://schemas.openxmlformats.org/officeDocument/2006/relationships" name="错误统计" sheetId="9" state="visible" r:id="rId9"/>
  </sheets>
  <definedNames>
    <definedName name="_xlnm.Print_Titles" localSheetId="0">'Dashboard'!$1:$1</definedName>
    <definedName name="_xlnm.Print_Titles" localSheetId="1">'数据'!$1:$1</definedName>
    <definedName name="_xlnm.Print_Titles" localSheetId="2">'按学号汇总'!$1:$1</definedName>
    <definedName name="_xlnm.Print_Titles" localSheetId="3">'成绩总览'!$1:$1</definedName>
    <definedName name="_xlnm.Print_Titles" localSheetId="4">'批改模型结果（宽表）'!$1:$1</definedName>
    <definedName name="_xlnm.Print_Titles" localSheetId="5">'维度汇总'!$1:$1</definedName>
    <definedName name="_xlnm.Print_Titles" localSheetId="6">'细则明细'!$1:$1</definedName>
    <definedName name="_xlnm.Print_Titles" localSheetId="7">'批次总览'!$1:$1</definedName>
    <definedName name="_xlnm.Print_Titles" localSheetId="8">'错误统计'!$1:$1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color rgb="006B7280"/>
    </font>
    <font>
      <b val="1"/>
      <color rgb="002B2B2B"/>
      <sz val="12"/>
    </font>
    <font>
      <b val="1"/>
      <color rgb="002B2B2B"/>
      <sz val="22"/>
    </font>
    <font>
      <b val="1"/>
      <color rgb="002B2B2B"/>
      <sz val="14"/>
    </font>
    <font>
      <b val="1"/>
      <color rgb="002B2B2B"/>
      <sz val="13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2F5F9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4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top" wrapText="1"/>
    </xf>
    <xf numFmtId="0" fontId="8" fillId="0" borderId="0" pivotButton="0" quotePrefix="0" xfId="0"/>
    <xf numFmtId="0" fontId="7" fillId="4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2" fontId="0" fillId="0" borderId="3" applyAlignment="1" pivotButton="0" quotePrefix="0" xfId="0">
      <alignment horizontal="left" vertical="top"/>
    </xf>
    <xf numFmtId="164" fontId="0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1" fontId="0" fillId="0" borderId="3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ill>
        <patternFill patternType="solid">
          <fgColor rgb="00F8FBFF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'数据'!$A$2:$A$3</f>
            </numRef>
          </cat>
          <val>
            <numRef>
              <f>'数据'!$B$2:$B$3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'数据'!$A$6:$A$15</f>
            </numRef>
          </cat>
          <val>
            <numRef>
              <f>'数据'!$B$6:$B$15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维度均分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'数据'!$D$2:$D$19</f>
            </numRef>
          </cat>
          <val>
            <numRef>
              <f>'数据'!$E$2:$E$19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12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12</row>
      <rowOff>0</rowOff>
    </from>
    <ext cx="43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IdSummary" displayName="StudentIdSummary" ref="A1:E3" headerRowCount="1">
  <autoFilter ref="A1:E3"/>
  <tableColumns count="5">
    <tableColumn id="1" name="学号"/>
    <tableColumn id="2" name="学生"/>
    <tableColumn id="3" name="总成绩"/>
    <tableColumn id="4" name="目标成绩"/>
    <tableColumn id="5" name="总评分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OverviewTbl" displayName="OverviewTbl" ref="A1:M3" headerRowCount="1">
  <autoFilter ref="A1:M3"/>
  <tableColumns count="13">
    <tableColumn id="1" name="状态"/>
    <tableColumn id="2" name="最终分"/>
    <tableColumn id="3" name="姓名"/>
    <tableColumn id="4" name="学号"/>
    <tableColumn id="5" name="文件名"/>
    <tableColumn id="6" name="成功模型数"/>
    <tableColumn id="7" name="失败模型数"/>
    <tableColumn id="8" name="模型通过率"/>
    <tableColumn id="9" name="总体评语"/>
    <tableColumn id="10" name="错误描述"/>
    <tableColumn id="11" name="聚合算法"/>
    <tableColumn id="12" name="查看模型"/>
    <tableColumn id="13" name="查看细则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odelWide" displayName="ModelWide" ref="A1:L3" headerRowCount="1">
  <autoFilter ref="A1:L3"/>
  <tableColumns count="12">
    <tableColumn id="1" name="学号"/>
    <tableColumn id="2" name="姓名"/>
    <tableColumn id="3" name="文件名"/>
    <tableColumn id="4" name="主模型-状态"/>
    <tableColumn id="5" name="主模型-分数"/>
    <tableColumn id="6" name="主模型-耗时(ms)"/>
    <tableColumn id="7" name="主模型-评语"/>
    <tableColumn id="8" name="副模型A-状态"/>
    <tableColumn id="9" name="副模型A-分数"/>
    <tableColumn id="10" name="副模型A-耗时(ms)"/>
    <tableColumn id="11" name="副模型A-评语"/>
    <tableColumn id="12" name="总体评语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imSummary" displayName="DimSummary" ref="A1:E3" headerRowCount="1">
  <autoFilter ref="A1:E3"/>
  <tableColumns count="5">
    <tableColumn id="1" name="学号"/>
    <tableColumn id="2" name="姓名"/>
    <tableColumn id="3" name="最终分"/>
    <tableColumn id="4" name="内容"/>
    <tableColumn id="5" name="结构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ubricDetail" displayName="RubricDetail" ref="A1:I5" headerRowCount="1">
  <autoFilter ref="A1:I5"/>
  <tableColumns count="9">
    <tableColumn id="1" name="学号"/>
    <tableColumn id="2" name="姓名"/>
    <tableColumn id="3" name="维度"/>
    <tableColumn id="4" name="细则项"/>
    <tableColumn id="5" name="该项总分"/>
    <tableColumn id="6" name="得分"/>
    <tableColumn id="7" name="扣分"/>
    <tableColumn id="8" name="原因说明"/>
    <tableColumn id="9" name="改进建议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BatchSummary" displayName="BatchSummary" ref="A1:B4" headerRowCount="1">
  <autoFilter ref="A1:B4"/>
  <tableColumns count="2">
    <tableColumn id="1" name="字段"/>
    <tableColumn id="2" name="值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ErrStats" displayName="ErrStats" ref="A1:C2" headerRowCount="1">
  <autoFilter ref="A1:C2"/>
  <tableColumns count="3">
    <tableColumn id="1" name="错误类型"/>
    <tableColumn id="2" name="数量"/>
    <tableColumn id="3" name="占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2" customWidth="1" min="4" max="4"/>
    <col width="18" customWidth="1" min="5" max="5"/>
    <col width="18" customWidth="1" min="6" max="6"/>
    <col width="2" customWidth="1" min="7" max="7"/>
    <col width="18" customWidth="1" min="8" max="8"/>
    <col width="18" customWidth="1" min="9" max="9"/>
    <col width="18" customWidth="1" min="10" max="10"/>
    <col width="18" customWidth="1" min="11" max="11"/>
    <col width="2" customWidth="1" min="12" max="12"/>
  </cols>
  <sheetData>
    <row r="1" ht="34" customHeight="1">
      <c r="A1" s="1" t="inlineStr">
        <is>
          <t>作业批改结果 · _out</t>
        </is>
      </c>
    </row>
    <row r="3" ht="20" customHeight="1">
      <c r="A3" s="2" t="inlineStr">
        <is>
          <t>生成时间：2025-12-17 19:18   |   总提交：2   |   成功率：100.0%</t>
        </is>
      </c>
    </row>
    <row r="5">
      <c r="B5" s="3" t="n">
        <v>2</v>
      </c>
      <c r="C5" s="4" t="n"/>
      <c r="E5" s="3" t="inlineStr">
        <is>
          <t>2 / 0</t>
        </is>
      </c>
      <c r="F5" s="4" t="n"/>
      <c r="H5" s="3" t="n">
        <v>71.5</v>
      </c>
      <c r="I5" s="4" t="n"/>
      <c r="J5" s="4" t="n"/>
      <c r="K5" s="4" t="n"/>
    </row>
    <row r="6">
      <c r="B6" s="4" t="n"/>
      <c r="C6" s="4" t="n"/>
      <c r="E6" s="5" t="inlineStr">
        <is>
          <t>成功率 100.0%</t>
        </is>
      </c>
      <c r="F6" s="4" t="n"/>
      <c r="H6" s="5" t="inlineStr">
        <is>
          <t>中位数 71.5</t>
        </is>
      </c>
      <c r="I6" s="4" t="n"/>
      <c r="J6" s="4" t="n"/>
      <c r="K6" s="4" t="n"/>
    </row>
    <row r="7">
      <c r="B7" s="4" t="n"/>
      <c r="C7" s="4" t="n"/>
      <c r="E7" s="4" t="n"/>
      <c r="F7" s="4" t="n"/>
      <c r="H7" s="4" t="n"/>
      <c r="I7" s="4" t="n"/>
      <c r="J7" s="4" t="n"/>
      <c r="K7" s="4" t="n"/>
    </row>
    <row r="9">
      <c r="B9" s="6" t="n">
        <v>88</v>
      </c>
      <c r="C9" s="4" t="n"/>
      <c r="E9" s="6" t="inlineStr">
        <is>
          <t>55.0 / 88.0</t>
        </is>
      </c>
      <c r="F9" s="4" t="n"/>
      <c r="H9" s="7" t="n">
        <v>0</v>
      </c>
      <c r="I9" s="4" t="n"/>
      <c r="J9" s="4" t="n"/>
      <c r="K9" s="4" t="n"/>
    </row>
    <row r="10">
      <c r="B10" s="4" t="n"/>
      <c r="C10" s="4" t="n"/>
      <c r="E10" s="4" t="n"/>
      <c r="F10" s="4" t="n"/>
      <c r="H10" s="5" t="inlineStr">
        <is>
          <t>主模型 0 | 副模型 0</t>
        </is>
      </c>
      <c r="I10" s="4" t="n"/>
      <c r="J10" s="4" t="n"/>
      <c r="K10" s="4" t="n"/>
    </row>
    <row r="12">
      <c r="B12" s="8" t="inlineStr">
        <is>
          <t>状态分布</t>
        </is>
      </c>
      <c r="E12" s="8" t="inlineStr">
        <is>
          <t>分数分布</t>
        </is>
      </c>
      <c r="H12" s="8" t="inlineStr">
        <is>
          <t>维度均分</t>
        </is>
      </c>
    </row>
    <row r="27">
      <c r="B27" s="8" t="inlineStr">
        <is>
          <t>低分 Top10</t>
        </is>
      </c>
    </row>
    <row r="28">
      <c r="B28" s="9" t="inlineStr">
        <is>
          <t>文件名</t>
        </is>
      </c>
      <c r="C28" s="9" t="inlineStr">
        <is>
          <t>学号</t>
        </is>
      </c>
      <c r="D28" s="9" t="inlineStr">
        <is>
          <t>姓名</t>
        </is>
      </c>
      <c r="E28" s="9" t="inlineStr">
        <is>
          <t>最终分</t>
        </is>
      </c>
    </row>
    <row r="29">
      <c r="B29" s="10" t="inlineStr">
        <is>
          <t>张三.docx</t>
        </is>
      </c>
      <c r="C29" s="10" t="inlineStr">
        <is>
          <t>2025001</t>
        </is>
      </c>
      <c r="D29" s="10" t="inlineStr">
        <is>
          <t>张三</t>
        </is>
      </c>
      <c r="E29" s="10" t="n">
        <v>55</v>
      </c>
    </row>
    <row r="30">
      <c r="B30" s="10" t="inlineStr">
        <is>
          <t>王五.docx</t>
        </is>
      </c>
      <c r="C30" s="10" t="inlineStr">
        <is>
          <t>2025002</t>
        </is>
      </c>
      <c r="D30" s="10" t="inlineStr">
        <is>
          <t>王五</t>
        </is>
      </c>
      <c r="E30" s="10" t="n">
        <v>88</v>
      </c>
    </row>
    <row r="31">
      <c r="B31" s="10" t="n"/>
      <c r="C31" s="10" t="n"/>
      <c r="D31" s="10" t="n"/>
      <c r="E31" s="10" t="n"/>
    </row>
    <row r="32">
      <c r="B32" s="10" t="n"/>
      <c r="C32" s="10" t="n"/>
      <c r="D32" s="10" t="n"/>
      <c r="E32" s="10" t="n"/>
    </row>
    <row r="33">
      <c r="B33" s="10" t="n"/>
      <c r="C33" s="10" t="n"/>
      <c r="D33" s="10" t="n"/>
      <c r="E33" s="10" t="n"/>
    </row>
    <row r="34">
      <c r="B34" s="10" t="n"/>
      <c r="C34" s="10" t="n"/>
      <c r="D34" s="10" t="n"/>
      <c r="E34" s="10" t="n"/>
    </row>
    <row r="35">
      <c r="B35" s="10" t="n"/>
      <c r="C35" s="10" t="n"/>
      <c r="D35" s="10" t="n"/>
      <c r="E35" s="10" t="n"/>
    </row>
    <row r="36">
      <c r="B36" s="10" t="n"/>
      <c r="C36" s="10" t="n"/>
      <c r="D36" s="10" t="n"/>
      <c r="E36" s="10" t="n"/>
    </row>
    <row r="37">
      <c r="B37" s="10" t="n"/>
      <c r="C37" s="10" t="n"/>
      <c r="D37" s="10" t="n"/>
      <c r="E37" s="10" t="n"/>
    </row>
    <row r="38">
      <c r="B38" s="10" t="n"/>
      <c r="C38" s="10" t="n"/>
      <c r="D38" s="10" t="n"/>
      <c r="E38" s="10" t="n"/>
    </row>
  </sheetData>
  <mergeCells count="17">
    <mergeCell ref="B6:C6"/>
    <mergeCell ref="E6:F6"/>
    <mergeCell ref="B7:C7"/>
    <mergeCell ref="H9:K9"/>
    <mergeCell ref="E7:F7"/>
    <mergeCell ref="E10:F10"/>
    <mergeCell ref="B5:C5"/>
    <mergeCell ref="A1:L1"/>
    <mergeCell ref="B10:C10"/>
    <mergeCell ref="E5:F5"/>
    <mergeCell ref="H6:K6"/>
    <mergeCell ref="H7:K7"/>
    <mergeCell ref="B9:C9"/>
    <mergeCell ref="A3:L3"/>
    <mergeCell ref="E9:F9"/>
    <mergeCell ref="H10:K10"/>
    <mergeCell ref="H5:K5"/>
  </mergeCells>
  <conditionalFormatting sqref="B29:E38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zoomScale="100" workbookViewId="0">
      <selection activeCell="A1" sqref="A1"/>
    </sheetView>
  </sheetViews>
  <sheetFormatPr baseColWidth="8" defaultRowHeight="15"/>
  <sheetData>
    <row r="1">
      <c r="A1" s="11" t="inlineStr">
        <is>
          <t>状态</t>
        </is>
      </c>
      <c r="B1" s="11" t="inlineStr">
        <is>
          <t>数量</t>
        </is>
      </c>
      <c r="D1" s="11" t="inlineStr">
        <is>
          <t>维度</t>
        </is>
      </c>
      <c r="E1" s="11" t="inlineStr">
        <is>
          <t>均分</t>
        </is>
      </c>
    </row>
    <row r="2">
      <c r="A2" t="inlineStr">
        <is>
          <t>成功</t>
        </is>
      </c>
      <c r="B2" t="n">
        <v>2</v>
      </c>
      <c r="D2" t="inlineStr">
        <is>
          <t>内容</t>
        </is>
      </c>
      <c r="E2" t="n">
        <v>15.5</v>
      </c>
    </row>
    <row r="3">
      <c r="A3" t="inlineStr">
        <is>
          <t>失败</t>
        </is>
      </c>
      <c r="B3" t="n">
        <v>0</v>
      </c>
      <c r="D3" t="inlineStr">
        <is>
          <t>结构</t>
        </is>
      </c>
      <c r="E3" t="n">
        <v>8.5</v>
      </c>
    </row>
    <row r="4">
      <c r="D4" t="inlineStr"/>
      <c r="E4" t="inlineStr"/>
    </row>
    <row r="5">
      <c r="A5" s="11" t="inlineStr">
        <is>
          <t>分数段</t>
        </is>
      </c>
      <c r="B5" s="11" t="inlineStr">
        <is>
          <t>人数</t>
        </is>
      </c>
      <c r="D5" t="inlineStr"/>
      <c r="E5" t="inlineStr"/>
    </row>
    <row r="6">
      <c r="A6" t="inlineStr">
        <is>
          <t>00-09</t>
        </is>
      </c>
      <c r="B6" t="n">
        <v>0</v>
      </c>
      <c r="D6" t="inlineStr"/>
      <c r="E6" t="inlineStr"/>
    </row>
    <row r="7">
      <c r="A7" t="inlineStr">
        <is>
          <t>10-19</t>
        </is>
      </c>
      <c r="B7" t="n">
        <v>0</v>
      </c>
      <c r="D7" t="inlineStr"/>
      <c r="E7" t="inlineStr"/>
    </row>
    <row r="8">
      <c r="A8" t="inlineStr">
        <is>
          <t>20-29</t>
        </is>
      </c>
      <c r="B8" t="n">
        <v>0</v>
      </c>
      <c r="D8" t="inlineStr"/>
      <c r="E8" t="inlineStr"/>
    </row>
    <row r="9">
      <c r="A9" t="inlineStr">
        <is>
          <t>30-39</t>
        </is>
      </c>
      <c r="B9" t="n">
        <v>0</v>
      </c>
      <c r="D9" t="inlineStr"/>
      <c r="E9" t="inlineStr"/>
    </row>
    <row r="10">
      <c r="A10" t="inlineStr">
        <is>
          <t>40-49</t>
        </is>
      </c>
      <c r="B10" t="n">
        <v>0</v>
      </c>
      <c r="D10" t="inlineStr"/>
      <c r="E10" t="inlineStr"/>
    </row>
    <row r="11">
      <c r="A11" t="inlineStr">
        <is>
          <t>50-59</t>
        </is>
      </c>
      <c r="B11" t="n">
        <v>1</v>
      </c>
      <c r="D11" t="inlineStr"/>
      <c r="E11" t="inlineStr"/>
    </row>
    <row r="12">
      <c r="A12" t="inlineStr">
        <is>
          <t>60-69</t>
        </is>
      </c>
      <c r="B12" t="n">
        <v>0</v>
      </c>
      <c r="D12" t="inlineStr"/>
      <c r="E12" t="inlineStr"/>
    </row>
    <row r="13">
      <c r="A13" t="inlineStr">
        <is>
          <t>70-79</t>
        </is>
      </c>
      <c r="B13" t="n">
        <v>0</v>
      </c>
      <c r="D13" t="inlineStr"/>
      <c r="E13" t="inlineStr"/>
    </row>
    <row r="14">
      <c r="A14" t="inlineStr">
        <is>
          <t>80-89</t>
        </is>
      </c>
      <c r="B14" t="n">
        <v>1</v>
      </c>
      <c r="D14" t="inlineStr"/>
      <c r="E14" t="inlineStr"/>
    </row>
    <row r="15">
      <c r="A15" t="inlineStr">
        <is>
          <t>90-99</t>
        </is>
      </c>
      <c r="B15" t="n">
        <v>0</v>
      </c>
      <c r="D15" t="inlineStr"/>
      <c r="E15" t="inlineStr"/>
    </row>
    <row r="16">
      <c r="D16" t="inlineStr"/>
      <c r="E16" t="inlineStr"/>
    </row>
    <row r="17">
      <c r="D17" t="inlineStr"/>
      <c r="E17" t="inlineStr"/>
    </row>
    <row r="18">
      <c r="D18" t="inlineStr"/>
      <c r="E18" t="inlineStr"/>
    </row>
    <row r="19">
      <c r="D19" t="inlineStr"/>
      <c r="E19" t="inlineStr"/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24" customHeight="1">
      <c r="A1" s="12" t="inlineStr">
        <is>
          <t>学号</t>
        </is>
      </c>
      <c r="B1" s="12" t="inlineStr">
        <is>
          <t>学生</t>
        </is>
      </c>
      <c r="C1" s="12" t="inlineStr">
        <is>
          <t>总成绩</t>
        </is>
      </c>
      <c r="D1" s="12" t="inlineStr">
        <is>
          <t>目标成绩</t>
        </is>
      </c>
      <c r="E1" s="12" t="inlineStr">
        <is>
          <t>总评分</t>
        </is>
      </c>
    </row>
    <row r="2">
      <c r="A2" s="13" t="inlineStr">
        <is>
          <t>2025001</t>
        </is>
      </c>
      <c r="B2" s="13" t="inlineStr">
        <is>
          <t>张三</t>
        </is>
      </c>
      <c r="C2" s="14" t="n">
        <v>55</v>
      </c>
      <c r="D2" s="14" t="n">
        <v>60</v>
      </c>
      <c r="E2" s="10" t="inlineStr">
        <is>
          <t>总体评语：结构清晰，建议补充数据来源。</t>
        </is>
      </c>
    </row>
    <row r="3">
      <c r="A3" s="13" t="inlineStr">
        <is>
          <t>2025002</t>
        </is>
      </c>
      <c r="B3" s="13" t="inlineStr">
        <is>
          <t>王五</t>
        </is>
      </c>
      <c r="C3" s="14" t="n">
        <v>88</v>
      </c>
      <c r="D3" s="14" t="n">
        <v>100</v>
      </c>
      <c r="E3" s="10" t="inlineStr">
        <is>
          <t>总体评语：论证充分，建议精简重复段落。</t>
        </is>
      </c>
    </row>
  </sheetData>
  <conditionalFormatting sqref="A2:E3">
    <cfRule type="expression" priority="1" dxfId="0">
      <formula>MOD(ROW(),2)=0</formula>
    </cfRule>
  </conditionalFormatting>
  <conditionalFormatting sqref="C2:C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3">
    <cfRule type="expression" priority="3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.4" customWidth="1" min="4" max="4"/>
    <col width="10.4" customWidth="1" min="5" max="5"/>
    <col width="10" customWidth="1" min="6" max="6"/>
    <col width="10" customWidth="1" min="7" max="7"/>
    <col width="35.6" customWidth="1" min="8" max="8"/>
    <col width="28" customWidth="1" min="9" max="9"/>
    <col width="28" customWidth="1" min="10" max="10"/>
    <col width="10" customWidth="1" min="11" max="11"/>
    <col width="10" customWidth="1" min="12" max="12"/>
    <col width="36.8" customWidth="1" min="13" max="13"/>
  </cols>
  <sheetData>
    <row r="1" ht="24" customHeight="1">
      <c r="A1" s="12" t="inlineStr">
        <is>
          <t>状态</t>
        </is>
      </c>
      <c r="B1" s="12" t="inlineStr">
        <is>
          <t>最终分</t>
        </is>
      </c>
      <c r="C1" s="12" t="inlineStr">
        <is>
          <t>姓名</t>
        </is>
      </c>
      <c r="D1" s="12" t="inlineStr">
        <is>
          <t>学号</t>
        </is>
      </c>
      <c r="E1" s="12" t="inlineStr">
        <is>
          <t>文件名</t>
        </is>
      </c>
      <c r="F1" s="12" t="inlineStr">
        <is>
          <t>成功模型数</t>
        </is>
      </c>
      <c r="G1" s="12" t="inlineStr">
        <is>
          <t>失败模型数</t>
        </is>
      </c>
      <c r="H1" s="12" t="inlineStr">
        <is>
          <t>模型通过率</t>
        </is>
      </c>
      <c r="I1" s="12" t="inlineStr">
        <is>
          <t>总体评语</t>
        </is>
      </c>
      <c r="J1" s="12" t="inlineStr">
        <is>
          <t>错误描述</t>
        </is>
      </c>
      <c r="K1" s="12" t="inlineStr">
        <is>
          <t>聚合算法</t>
        </is>
      </c>
      <c r="L1" s="12" t="inlineStr">
        <is>
          <t>查看模型</t>
        </is>
      </c>
      <c r="M1" s="12" t="inlineStr">
        <is>
          <t>查看细则</t>
        </is>
      </c>
    </row>
    <row r="2">
      <c r="A2" s="13" t="inlineStr">
        <is>
          <t>成功</t>
        </is>
      </c>
      <c r="B2" s="14" t="n">
        <v>55</v>
      </c>
      <c r="C2" s="13" t="inlineStr">
        <is>
          <t>张三</t>
        </is>
      </c>
      <c r="D2" s="13" t="inlineStr">
        <is>
          <t>2025001</t>
        </is>
      </c>
      <c r="E2" s="10" t="inlineStr">
        <is>
          <t>张三.docx</t>
        </is>
      </c>
      <c r="F2" s="13" t="n">
        <v>2</v>
      </c>
      <c r="G2" s="13" t="n">
        <v>0</v>
      </c>
      <c r="H2" s="15">
        <f>IF((F2+G2)=0,"",F2/(F2+G2))</f>
        <v/>
      </c>
      <c r="I2" s="10" t="inlineStr">
        <is>
          <t>总体评语：结构清晰，建议补充数据来源。</t>
        </is>
      </c>
      <c r="J2" s="10" t="n"/>
      <c r="K2" s="13" t="inlineStr">
        <is>
          <t>mean</t>
        </is>
      </c>
      <c r="L2" s="13" t="n"/>
      <c r="M2" s="16">
        <f>HYPERLINK("#'细则明细'!A2","查看")</f>
        <v/>
      </c>
    </row>
    <row r="3">
      <c r="A3" s="13" t="inlineStr">
        <is>
          <t>成功</t>
        </is>
      </c>
      <c r="B3" s="14" t="n">
        <v>88</v>
      </c>
      <c r="C3" s="13" t="inlineStr">
        <is>
          <t>王五</t>
        </is>
      </c>
      <c r="D3" s="13" t="inlineStr">
        <is>
          <t>2025002</t>
        </is>
      </c>
      <c r="E3" s="10" t="inlineStr">
        <is>
          <t>王五.docx</t>
        </is>
      </c>
      <c r="F3" s="13" t="n">
        <v>1</v>
      </c>
      <c r="G3" s="13" t="n">
        <v>0</v>
      </c>
      <c r="H3" s="15">
        <f>IF((F3+G3)=0,"",F3/(F3+G3))</f>
        <v/>
      </c>
      <c r="I3" s="10" t="inlineStr">
        <is>
          <t>总体评语：论证充分，建议精简重复段落。</t>
        </is>
      </c>
      <c r="J3" s="10" t="n"/>
      <c r="K3" s="13" t="inlineStr">
        <is>
          <t>mean</t>
        </is>
      </c>
      <c r="L3" s="13" t="n"/>
      <c r="M3" s="13" t="n"/>
    </row>
  </sheetData>
  <conditionalFormatting sqref="A2:M3">
    <cfRule type="expression" priority="1" dxfId="0">
      <formula>MOD(ROW(),2)=0</formula>
    </cfRule>
  </conditionalFormatting>
  <conditionalFormatting sqref="A2:A3">
    <cfRule type="expression" priority="2" dxfId="1">
      <formula>EXACT($A2,"成功")</formula>
    </cfRule>
    <cfRule type="expression" priority="3" dxfId="2">
      <formula>EXACT($A2,"失败")</formula>
    </cfRule>
  </conditionalFormatting>
  <conditionalFormatting sqref="B2:B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  <cfRule type="expression" priority="8" dxfId="3">
      <formula>TRUE</formula>
    </cfRule>
  </conditionalFormatting>
  <conditionalFormatting sqref="E2:E3">
    <cfRule type="expression" priority="5" dxfId="4">
      <formula>TRUE</formula>
    </cfRule>
  </conditionalFormatting>
  <conditionalFormatting sqref="I2:I3">
    <cfRule type="expression" priority="6" dxfId="1">
      <formula>TRUE</formula>
    </cfRule>
  </conditionalFormatting>
  <conditionalFormatting sqref="J2:J3">
    <cfRule type="expression" priority="7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0" customWidth="1" min="2" max="2"/>
    <col width="10.4" customWidth="1" min="3" max="3"/>
    <col width="10" customWidth="1" min="4" max="4"/>
    <col width="10" customWidth="1" min="5" max="5"/>
    <col width="14" customWidth="1" min="6" max="6"/>
    <col width="30" customWidth="1" min="7" max="7"/>
    <col width="10.4" customWidth="1" min="8" max="8"/>
    <col width="10.4" customWidth="1" min="9" max="9"/>
    <col width="15.2" customWidth="1" min="10" max="10"/>
    <col width="30" customWidth="1" min="11" max="11"/>
    <col width="30" customWidth="1" min="12" max="12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文件名</t>
        </is>
      </c>
      <c r="D1" s="12" t="inlineStr">
        <is>
          <t>主模型-状态</t>
        </is>
      </c>
      <c r="E1" s="12" t="inlineStr">
        <is>
          <t>主模型-分数</t>
        </is>
      </c>
      <c r="F1" s="12" t="inlineStr">
        <is>
          <t>主模型-耗时(ms)</t>
        </is>
      </c>
      <c r="G1" s="12" t="inlineStr">
        <is>
          <t>主模型-评语</t>
        </is>
      </c>
      <c r="H1" s="12" t="inlineStr">
        <is>
          <t>副模型A-状态</t>
        </is>
      </c>
      <c r="I1" s="12" t="inlineStr">
        <is>
          <t>副模型A-分数</t>
        </is>
      </c>
      <c r="J1" s="12" t="inlineStr">
        <is>
          <t>副模型A-耗时(ms)</t>
        </is>
      </c>
      <c r="K1" s="12" t="inlineStr">
        <is>
          <t>副模型A-评语</t>
        </is>
      </c>
      <c r="L1" s="12" t="inlineStr">
        <is>
          <t>总体评语</t>
        </is>
      </c>
    </row>
    <row r="2" ht="60" customHeight="1">
      <c r="A2" s="13" t="inlineStr">
        <is>
          <t>2025001</t>
        </is>
      </c>
      <c r="B2" s="13" t="inlineStr">
        <is>
          <t>张三</t>
        </is>
      </c>
      <c r="C2" s="10" t="inlineStr">
        <is>
          <t>张三.docx</t>
        </is>
      </c>
      <c r="D2" s="13" t="inlineStr">
        <is>
          <t>成功</t>
        </is>
      </c>
      <c r="E2" s="14" t="n">
        <v>55</v>
      </c>
      <c r="F2" s="17" t="n">
        <v>100</v>
      </c>
      <c r="G2" s="10" t="inlineStr">
        <is>
          <t>主模型评语：整体较好。</t>
        </is>
      </c>
      <c r="H2" s="13" t="inlineStr">
        <is>
          <t>成功</t>
        </is>
      </c>
      <c r="I2" s="14" t="n">
        <v>57</v>
      </c>
      <c r="J2" s="17" t="n">
        <v>120</v>
      </c>
      <c r="K2" s="10" t="inlineStr">
        <is>
          <t>副模型1评语：表达更自然。</t>
        </is>
      </c>
      <c r="L2" s="10" t="inlineStr">
        <is>
          <t>总体评语：结构清晰，建议补充数据来源。</t>
        </is>
      </c>
    </row>
    <row r="3" ht="60" customHeight="1">
      <c r="A3" s="13" t="inlineStr">
        <is>
          <t>2025002</t>
        </is>
      </c>
      <c r="B3" s="13" t="inlineStr">
        <is>
          <t>王五</t>
        </is>
      </c>
      <c r="C3" s="10" t="inlineStr">
        <is>
          <t>王五.docx</t>
        </is>
      </c>
      <c r="D3" s="13" t="inlineStr">
        <is>
          <t>成功</t>
        </is>
      </c>
      <c r="E3" s="14" t="n">
        <v>88</v>
      </c>
      <c r="F3" s="17" t="n">
        <v>90</v>
      </c>
      <c r="G3" s="10" t="inlineStr">
        <is>
          <t>主模型评语：亮点明显。</t>
        </is>
      </c>
      <c r="H3" s="13" t="inlineStr"/>
      <c r="I3" s="13" t="n"/>
      <c r="J3" s="13" t="n"/>
      <c r="K3" s="10" t="inlineStr">
        <is>
          <t>失败</t>
        </is>
      </c>
      <c r="L3" s="10" t="inlineStr">
        <is>
          <t>总体评语：论证充分，建议精简重复段落。</t>
        </is>
      </c>
    </row>
  </sheetData>
  <conditionalFormatting sqref="A2:L3">
    <cfRule type="expression" priority="1" dxfId="0">
      <formula>MOD(ROW(),2)=0</formula>
    </cfRule>
  </conditionalFormatting>
  <conditionalFormatting sqref="D2:D3">
    <cfRule type="expression" priority="2" dxfId="1">
      <formula>EXACT($D2,"成功")</formula>
    </cfRule>
    <cfRule type="expression" priority="3" dxfId="2">
      <formula>EXACT($D2,"失败")</formula>
    </cfRule>
  </conditionalFormatting>
  <conditionalFormatting sqref="H2:H3">
    <cfRule type="expression" priority="4" dxfId="1">
      <formula>EXACT($H2,"成功")</formula>
    </cfRule>
    <cfRule type="expression" priority="5" dxfId="2">
      <formula>EXACT($H2,"失败")</formula>
    </cfRule>
  </conditionalFormatting>
  <conditionalFormatting sqref="E2:E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">
    <cfRule type="expression" priority="8" dxfId="1">
      <formula>TRUE</formula>
    </cfRule>
  </conditionalFormatting>
  <conditionalFormatting sqref="K2:K3">
    <cfRule type="expression" priority="9" dxfId="1">
      <formula>TRUE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最终分</t>
        </is>
      </c>
      <c r="D1" s="12" t="inlineStr">
        <is>
          <t>内容</t>
        </is>
      </c>
      <c r="E1" s="12" t="inlineStr">
        <is>
          <t>结构</t>
        </is>
      </c>
    </row>
    <row r="2">
      <c r="A2" s="13" t="inlineStr">
        <is>
          <t>2025001</t>
        </is>
      </c>
      <c r="B2" s="13" t="inlineStr">
        <is>
          <t>张三</t>
        </is>
      </c>
      <c r="C2" s="14" t="n">
        <v>55</v>
      </c>
      <c r="D2" s="14" t="n">
        <v>15.5</v>
      </c>
      <c r="E2" s="14" t="n">
        <v>8.5</v>
      </c>
    </row>
    <row r="3">
      <c r="A3" s="13" t="inlineStr">
        <is>
          <t>2025002</t>
        </is>
      </c>
      <c r="B3" s="13" t="inlineStr">
        <is>
          <t>王五</t>
        </is>
      </c>
      <c r="C3" s="14" t="n">
        <v>88</v>
      </c>
      <c r="D3" s="13" t="n"/>
      <c r="E3" s="13" t="n"/>
    </row>
  </sheetData>
  <conditionalFormatting sqref="A2:E3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  <col width="30" customWidth="1" min="9" max="9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维度</t>
        </is>
      </c>
      <c r="D1" s="12" t="inlineStr">
        <is>
          <t>细则项</t>
        </is>
      </c>
      <c r="E1" s="12" t="inlineStr">
        <is>
          <t>该项总分</t>
        </is>
      </c>
      <c r="F1" s="12" t="inlineStr">
        <is>
          <t>得分</t>
        </is>
      </c>
      <c r="G1" s="12" t="inlineStr">
        <is>
          <t>扣分</t>
        </is>
      </c>
      <c r="H1" s="12" t="inlineStr">
        <is>
          <t>原因说明</t>
        </is>
      </c>
      <c r="I1" s="12" t="inlineStr">
        <is>
          <t>改进建议</t>
        </is>
      </c>
    </row>
    <row r="2">
      <c r="A2" s="13" t="inlineStr">
        <is>
          <t>2025001</t>
        </is>
      </c>
      <c r="B2" s="13" t="inlineStr">
        <is>
          <t>张三</t>
        </is>
      </c>
      <c r="C2" s="13" t="inlineStr">
        <is>
          <t>结构</t>
        </is>
      </c>
      <c r="D2" s="10" t="inlineStr">
        <is>
          <t>标题</t>
        </is>
      </c>
      <c r="E2" s="14" t="n">
        <v>5</v>
      </c>
      <c r="F2" s="14" t="n">
        <v>4</v>
      </c>
      <c r="G2" s="14" t="n">
        <v>1</v>
      </c>
      <c r="H2" s="10" t="inlineStr">
        <is>
          <t>标题清晰</t>
        </is>
      </c>
      <c r="I2" s="10" t="inlineStr"/>
    </row>
    <row r="3">
      <c r="A3" s="13" t="inlineStr">
        <is>
          <t>2025001</t>
        </is>
      </c>
      <c r="B3" s="13" t="inlineStr">
        <is>
          <t>张三</t>
        </is>
      </c>
      <c r="C3" s="13" t="inlineStr">
        <is>
          <t>结构</t>
        </is>
      </c>
      <c r="D3" s="10" t="inlineStr">
        <is>
          <t>段落</t>
        </is>
      </c>
      <c r="E3" s="14" t="n">
        <v>5</v>
      </c>
      <c r="F3" s="14" t="n">
        <v>4</v>
      </c>
      <c r="G3" s="14" t="n">
        <v>1</v>
      </c>
      <c r="H3" s="10" t="inlineStr">
        <is>
          <t>段落清楚</t>
        </is>
      </c>
      <c r="I3" s="10" t="inlineStr"/>
    </row>
    <row r="4">
      <c r="A4" s="13" t="inlineStr">
        <is>
          <t>2025001</t>
        </is>
      </c>
      <c r="B4" s="13" t="inlineStr">
        <is>
          <t>张三</t>
        </is>
      </c>
      <c r="C4" s="13" t="inlineStr">
        <is>
          <t>内容</t>
        </is>
      </c>
      <c r="D4" s="10" t="inlineStr">
        <is>
          <t>论据</t>
        </is>
      </c>
      <c r="E4" s="14" t="n">
        <v>10</v>
      </c>
      <c r="F4" s="14" t="n">
        <v>8</v>
      </c>
      <c r="G4" s="14" t="n">
        <v>2</v>
      </c>
      <c r="H4" s="10" t="inlineStr">
        <is>
          <t>论据基本充分</t>
        </is>
      </c>
      <c r="I4" s="10" t="inlineStr"/>
    </row>
    <row r="5">
      <c r="A5" s="13" t="inlineStr">
        <is>
          <t>2025001</t>
        </is>
      </c>
      <c r="B5" s="13" t="inlineStr">
        <is>
          <t>张三</t>
        </is>
      </c>
      <c r="C5" s="13" t="inlineStr">
        <is>
          <t>内容</t>
        </is>
      </c>
      <c r="D5" s="10" t="inlineStr">
        <is>
          <t>逻辑</t>
        </is>
      </c>
      <c r="E5" s="14" t="n">
        <v>10</v>
      </c>
      <c r="F5" s="14" t="n">
        <v>8</v>
      </c>
      <c r="G5" s="14" t="n">
        <v>2</v>
      </c>
      <c r="H5" s="10" t="inlineStr">
        <is>
          <t>逻辑顺畅</t>
        </is>
      </c>
      <c r="I5" s="10" t="inlineStr"/>
    </row>
  </sheetData>
  <conditionalFormatting sqref="A2:I5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</cols>
  <sheetData>
    <row r="1" ht="24" customHeight="1">
      <c r="A1" s="12" t="inlineStr">
        <is>
          <t>字段</t>
        </is>
      </c>
      <c r="B1" s="12" t="inlineStr">
        <is>
          <t>值</t>
        </is>
      </c>
    </row>
    <row r="2">
      <c r="A2" s="13" t="inlineStr">
        <is>
          <t>批次ID</t>
        </is>
      </c>
      <c r="B2" s="10" t="inlineStr">
        <is>
          <t>demo-batch</t>
        </is>
      </c>
    </row>
    <row r="3">
      <c r="A3" s="13" t="inlineStr">
        <is>
          <t>生成时间</t>
        </is>
      </c>
      <c r="B3" s="10" t="inlineStr">
        <is>
          <t>now</t>
        </is>
      </c>
    </row>
    <row r="4">
      <c r="A4" s="13" t="inlineStr">
        <is>
          <t>目标满分</t>
        </is>
      </c>
      <c r="B4" s="10" t="inlineStr">
        <is>
          <t>60.0</t>
        </is>
      </c>
    </row>
  </sheetData>
  <conditionalFormatting sqref="A2:B4">
    <cfRule type="expression" priority="1" dxfId="0">
      <formula>MOD(ROW(),2)=0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3.6" customWidth="1" min="3" max="3"/>
  </cols>
  <sheetData>
    <row r="1" ht="24" customHeight="1">
      <c r="A1" s="12" t="inlineStr">
        <is>
          <t>错误类型</t>
        </is>
      </c>
      <c r="B1" s="12" t="inlineStr">
        <is>
          <t>数量</t>
        </is>
      </c>
      <c r="C1" s="12" t="inlineStr">
        <is>
          <t>占比</t>
        </is>
      </c>
    </row>
    <row r="2">
      <c r="A2" s="13" t="inlineStr">
        <is>
          <t>解析校验错误</t>
        </is>
      </c>
      <c r="B2" s="13" t="n">
        <v>1</v>
      </c>
      <c r="C2" s="15">
        <f>B2/SUM($B$2:$B$2)</f>
        <v/>
      </c>
    </row>
  </sheetData>
  <conditionalFormatting sqref="A2:C2">
    <cfRule type="expression" priority="1" dxfId="0">
      <formula>MOD(ROW(),2)=0</formula>
    </cfRule>
  </conditionalFormatting>
  <conditionalFormatting sqref="B2">
    <cfRule type="expression" priority="2" dxfId="4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2025-12-17T11:18:34Z</dcterms:created>
  <dcterms:modified xmlns:dcterms="http://purl.org/dc/terms/" xmlns:xsi="http://www.w3.org/2001/XMLSchema-instance" xsi:type="dcterms:W3CDTF">2025-12-17T11:18:34Z</dcterms:modified>
</cp:coreProperties>
</file>